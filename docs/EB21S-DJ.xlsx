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555"/>
  </bookViews>
  <sheets>
    <sheet name="配料表" sheetId="1" r:id="rId1"/>
  </sheets>
  <definedNames>
    <definedName name="_xlnm._FilterDatabase" localSheetId="0" hidden="1">配料表!$A$4:$IJ$259</definedName>
    <definedName name="_xlnm.Print_Area" localSheetId="0">配料表!$A$5:$I$259</definedName>
    <definedName name="_xlnm.Print_Titles" localSheetId="0">配料表!$1:$4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<sst xmlns="http://schemas.openxmlformats.org/spreadsheetml/2006/main" count="680" uniqueCount="208">
  <si>
    <t>EB21S-DJ配料明细表(角钢) 国网标准</t>
  </si>
  <si>
    <t>柳城-安龙π入渡桥110kV线路工程(架空部分)（柳城铁)              下发单号:26011302</t>
  </si>
  <si>
    <t>编号</t>
  </si>
  <si>
    <t>材质</t>
  </si>
  <si>
    <t>规格</t>
  </si>
  <si>
    <t>长度</t>
  </si>
  <si>
    <t>数量</t>
  </si>
  <si>
    <t>加工数</t>
  </si>
  <si>
    <t>重量</t>
  </si>
  <si>
    <t>小计</t>
  </si>
  <si>
    <t>备注</t>
  </si>
  <si>
    <t>单基</t>
  </si>
  <si>
    <t>单件</t>
  </si>
  <si>
    <t>Q420B</t>
  </si>
  <si>
    <t>∠180*16</t>
  </si>
  <si>
    <t>7M*20</t>
  </si>
  <si>
    <t>180*16*7M</t>
  </si>
  <si>
    <t>160*14*11M</t>
  </si>
  <si>
    <t>∠160*14</t>
  </si>
  <si>
    <t>11M*4</t>
  </si>
  <si>
    <t>∠160*12</t>
  </si>
  <si>
    <t>8M*2</t>
  </si>
  <si>
    <t>160*12*8M</t>
  </si>
  <si>
    <t>P1-21</t>
  </si>
  <si>
    <t>∠140*12</t>
  </si>
  <si>
    <t>140*12*8M</t>
  </si>
  <si>
    <t>140*10*12M</t>
  </si>
  <si>
    <t>∠140*10</t>
  </si>
  <si>
    <t>12M*4</t>
  </si>
  <si>
    <t>140*10*10M</t>
  </si>
  <si>
    <t>125*12*11M</t>
  </si>
  <si>
    <t>P1-17</t>
  </si>
  <si>
    <t>10M*2</t>
  </si>
  <si>
    <t>P1-18</t>
  </si>
  <si>
    <t>P1-01</t>
  </si>
  <si>
    <t>∠125*12</t>
  </si>
  <si>
    <t>11M*2</t>
  </si>
  <si>
    <t>P1-02</t>
  </si>
  <si>
    <t>P1-22</t>
  </si>
  <si>
    <t>∠125*10</t>
  </si>
  <si>
    <t>8M*8</t>
  </si>
  <si>
    <t>P1-23</t>
  </si>
  <si>
    <t>125*10*8M</t>
  </si>
  <si>
    <t>P1-24</t>
  </si>
  <si>
    <t>P1-25</t>
  </si>
  <si>
    <t>125*10*10M</t>
  </si>
  <si>
    <t>☆</t>
  </si>
  <si>
    <t>P1-03</t>
  </si>
  <si>
    <t>P1-04</t>
  </si>
  <si>
    <t>FZ04</t>
  </si>
  <si>
    <t>Q235B</t>
  </si>
  <si>
    <t>车间余料</t>
  </si>
  <si>
    <t>235 140*10用355代</t>
  </si>
  <si>
    <t>Q345B</t>
  </si>
  <si>
    <t>12M*2</t>
  </si>
  <si>
    <t>125*10*12M</t>
  </si>
  <si>
    <t>P1-39</t>
  </si>
  <si>
    <t>∠110*8</t>
  </si>
  <si>
    <t>9M*4</t>
  </si>
  <si>
    <t>P1-40</t>
  </si>
  <si>
    <t>FZ01</t>
  </si>
  <si>
    <t>110*8*9M</t>
  </si>
  <si>
    <t>235 110*8用355代</t>
  </si>
  <si>
    <t>P1-30</t>
  </si>
  <si>
    <t>∠110*10</t>
  </si>
  <si>
    <t>7M*1</t>
  </si>
  <si>
    <t>P1-31</t>
  </si>
  <si>
    <t>110*10*7M</t>
  </si>
  <si>
    <t>∠100*8</t>
  </si>
  <si>
    <t>7M*4</t>
  </si>
  <si>
    <t>10M*2/11M*2</t>
  </si>
  <si>
    <t>100*8*7M</t>
  </si>
  <si>
    <t>100*8*10M</t>
  </si>
  <si>
    <t>100*8*11M</t>
  </si>
  <si>
    <t>∠100*7</t>
  </si>
  <si>
    <t>11M*8</t>
  </si>
  <si>
    <t>100*7*11M</t>
  </si>
  <si>
    <t>100*7*7M</t>
  </si>
  <si>
    <t>100*10*10M</t>
  </si>
  <si>
    <t>P1-92</t>
  </si>
  <si>
    <t>∠100*10</t>
  </si>
  <si>
    <t>10M*4</t>
  </si>
  <si>
    <t>P1-92A</t>
  </si>
  <si>
    <t>P1-92B</t>
  </si>
  <si>
    <t>P1-19</t>
  </si>
  <si>
    <t>P1-20</t>
  </si>
  <si>
    <t>∠90*7</t>
  </si>
  <si>
    <t>9M*8</t>
  </si>
  <si>
    <t>1507A</t>
  </si>
  <si>
    <t>12M*1</t>
  </si>
  <si>
    <t>90*7*9M</t>
  </si>
  <si>
    <t>90*7*12M</t>
  </si>
  <si>
    <t>1505A</t>
  </si>
  <si>
    <t>∠80*7</t>
  </si>
  <si>
    <t>11m*8</t>
  </si>
  <si>
    <t>12M*8</t>
  </si>
  <si>
    <t>80*7*9M</t>
  </si>
  <si>
    <t>80*7*11M</t>
  </si>
  <si>
    <t>80*7*12M</t>
  </si>
  <si>
    <t>Z114</t>
  </si>
  <si>
    <t>Z214</t>
  </si>
  <si>
    <t>∠80*6</t>
  </si>
  <si>
    <t>80*6*10M</t>
  </si>
  <si>
    <t>1107A</t>
  </si>
  <si>
    <t>J03</t>
  </si>
  <si>
    <t>J03A</t>
  </si>
  <si>
    <t>J02</t>
  </si>
  <si>
    <t>J02A</t>
  </si>
  <si>
    <t>J01</t>
  </si>
  <si>
    <t>∠75*6</t>
  </si>
  <si>
    <t>J01A</t>
  </si>
  <si>
    <t>Z210</t>
  </si>
  <si>
    <t>Z110</t>
  </si>
  <si>
    <t>75*6*8M</t>
  </si>
  <si>
    <t>75*6*11M</t>
  </si>
  <si>
    <t>1支可取样</t>
  </si>
  <si>
    <t>Z211</t>
  </si>
  <si>
    <t>11M*1</t>
  </si>
  <si>
    <t>Z111</t>
  </si>
  <si>
    <t>∠75*5</t>
  </si>
  <si>
    <t>75*5*7M</t>
  </si>
  <si>
    <t>75*5*8M</t>
  </si>
  <si>
    <t>∠70*6</t>
  </si>
  <si>
    <t>11M*3</t>
  </si>
  <si>
    <t>70*6*11M</t>
  </si>
  <si>
    <t>∠70*5</t>
  </si>
  <si>
    <t>P1-85</t>
  </si>
  <si>
    <t>P1-86</t>
  </si>
  <si>
    <t>70*5*12M</t>
  </si>
  <si>
    <t>P1-82</t>
  </si>
  <si>
    <t>12M*2 8510+1217*2+880</t>
  </si>
  <si>
    <t>P1-83</t>
  </si>
  <si>
    <t>P1-79</t>
  </si>
  <si>
    <t>∠63*5</t>
  </si>
  <si>
    <t>11M*4 10M*8</t>
  </si>
  <si>
    <t>P1-80</t>
  </si>
  <si>
    <t>Z103</t>
  </si>
  <si>
    <t>Z104</t>
  </si>
  <si>
    <t>Z203</t>
  </si>
  <si>
    <t>Z204</t>
  </si>
  <si>
    <t>Z101</t>
  </si>
  <si>
    <t>Z102</t>
  </si>
  <si>
    <t>Z201</t>
  </si>
  <si>
    <t>Z202</t>
  </si>
  <si>
    <t>63*5*10M</t>
  </si>
  <si>
    <t>63*5*11M</t>
  </si>
  <si>
    <t>63*5*12M</t>
  </si>
  <si>
    <t>P1-05</t>
  </si>
  <si>
    <t>11m*2</t>
  </si>
  <si>
    <t>P1-06</t>
  </si>
  <si>
    <t>P1-07</t>
  </si>
  <si>
    <t>∠56*5</t>
  </si>
  <si>
    <t>Z221</t>
  </si>
  <si>
    <t>8M*4</t>
  </si>
  <si>
    <t>P1-61</t>
  </si>
  <si>
    <t>P1-62</t>
  </si>
  <si>
    <t>P1-49</t>
  </si>
  <si>
    <t>P1-49A</t>
  </si>
  <si>
    <t>P1-50</t>
  </si>
  <si>
    <t>P1-50A</t>
  </si>
  <si>
    <t>Z121</t>
  </si>
  <si>
    <t>P1-55</t>
  </si>
  <si>
    <t>P1-56</t>
  </si>
  <si>
    <t>Z222</t>
  </si>
  <si>
    <t>Z223</t>
  </si>
  <si>
    <t>56*5*8M</t>
  </si>
  <si>
    <t>Z122</t>
  </si>
  <si>
    <t>56*5*9M</t>
  </si>
  <si>
    <t>Z123</t>
  </si>
  <si>
    <t>P1-93</t>
  </si>
  <si>
    <t>∠56*4</t>
  </si>
  <si>
    <t>P1-94</t>
  </si>
  <si>
    <t>P1-95</t>
  </si>
  <si>
    <t>56*4*9M</t>
  </si>
  <si>
    <t>P1-96</t>
  </si>
  <si>
    <t>56*4*10M</t>
  </si>
  <si>
    <t>P1-28</t>
  </si>
  <si>
    <t>P1-29</t>
  </si>
  <si>
    <t>Z117</t>
  </si>
  <si>
    <t>Z118</t>
  </si>
  <si>
    <t>P1-26</t>
  </si>
  <si>
    <t>P1-27</t>
  </si>
  <si>
    <t>9M*2含1201*2</t>
  </si>
  <si>
    <t>10m*2</t>
  </si>
  <si>
    <t>932A</t>
  </si>
  <si>
    <t>Z217</t>
  </si>
  <si>
    <t>9M*4含1075*4 8953</t>
  </si>
  <si>
    <t>Z218</t>
  </si>
  <si>
    <t>P1-75</t>
  </si>
  <si>
    <t>P1-76</t>
  </si>
  <si>
    <t>P1-78</t>
  </si>
  <si>
    <t>P1-81</t>
  </si>
  <si>
    <t>∠50*5</t>
  </si>
  <si>
    <t>10M*15</t>
  </si>
  <si>
    <t>50*5*10M</t>
  </si>
  <si>
    <t>∠50*4</t>
  </si>
  <si>
    <t>10M*9</t>
  </si>
  <si>
    <t>50*4*10M</t>
  </si>
  <si>
    <t>∠45*4</t>
  </si>
  <si>
    <t>10M*32</t>
  </si>
  <si>
    <t>45*4*10M</t>
  </si>
  <si>
    <t>∠40*4</t>
  </si>
  <si>
    <t>10M*19</t>
  </si>
  <si>
    <t>40*4*10M</t>
  </si>
  <si>
    <t>∠40*3</t>
  </si>
  <si>
    <t>10M*30</t>
  </si>
  <si>
    <t>40*3*10M</t>
  </si>
  <si>
    <t>配料:陈郑兰                   审核:杨应深                 日期: 2026-1-13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</si>
</sst>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);[Red]\(0.00\)"/>
  </numFmts>
  <fonts count="32">
    <font>
      <sz val="12"/>
      <name val="宋体"/>
      <charset val="134"/>
    </font>
    <font>
      <sz val="14"/>
      <name val="宋体"/>
      <charset val="134"/>
    </font>
    <font>
      <sz val="12"/>
      <color indexed="8"/>
      <name val="宋体"/>
      <charset val="134"/>
    </font>
    <font>
      <b/>
      <sz val="12"/>
      <color indexed="8"/>
      <name val="宋体"/>
      <charset val="134"/>
    </font>
    <font>
      <b/>
      <sz val="18"/>
      <name val="宋体"/>
      <charset val="134"/>
    </font>
    <font>
      <sz val="18"/>
      <name val="宋体"/>
      <charset val="134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3"/>
      <color theme="1"/>
      <name val="宋体"/>
      <charset val="134"/>
      <scheme val="minor"/>
    </font>
    <font>
      <b/>
      <sz val="13"/>
      <color theme="1"/>
      <name val="宋体"/>
      <charset val="134"/>
      <scheme val="minor"/>
    </font>
    <font>
      <b/>
      <sz val="14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shrinkToFit="1"/>
    </xf>
    <xf numFmtId="0" fontId="1" fillId="0" borderId="0" xfId="0" applyFont="1" applyFill="1">
      <alignment vertical="center"/>
    </xf>
    <xf numFmtId="0" fontId="2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vertical="center"/>
    </xf>
    <xf numFmtId="176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 wrapText="1"/>
    </xf>
    <xf numFmtId="176" fontId="4" fillId="0" borderId="0" xfId="0" applyNumberFormat="1" applyFont="1" applyFill="1" applyBorder="1" applyAlignment="1">
      <alignment horizontal="center" vertical="center" wrapText="1"/>
    </xf>
    <xf numFmtId="177" fontId="5" fillId="0" borderId="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 shrinkToFit="1"/>
    </xf>
    <xf numFmtId="176" fontId="6" fillId="0" borderId="0" xfId="0" applyNumberFormat="1" applyFont="1" applyFill="1" applyBorder="1" applyAlignment="1">
      <alignment horizontal="center" vertical="center" shrinkToFit="1"/>
    </xf>
    <xf numFmtId="0" fontId="0" fillId="0" borderId="0" xfId="0" applyFont="1" applyFill="1" applyBorder="1" applyAlignment="1">
      <alignment horizontal="left" vertical="center" wrapText="1" shrinkToFit="1"/>
    </xf>
    <xf numFmtId="0" fontId="6" fillId="0" borderId="1" xfId="0" applyFont="1" applyFill="1" applyBorder="1" applyAlignment="1">
      <alignment horizontal="center" vertical="center" shrinkToFit="1"/>
    </xf>
    <xf numFmtId="176" fontId="6" fillId="0" borderId="1" xfId="0" applyNumberFormat="1" applyFont="1" applyFill="1" applyBorder="1" applyAlignment="1">
      <alignment horizontal="center" vertical="center" shrinkToFit="1"/>
    </xf>
    <xf numFmtId="0" fontId="6" fillId="0" borderId="2" xfId="0" applyFont="1" applyFill="1" applyBorder="1" applyAlignment="1">
      <alignment horizontal="center" vertical="center" shrinkToFit="1"/>
    </xf>
    <xf numFmtId="177" fontId="6" fillId="0" borderId="2" xfId="0" applyNumberFormat="1" applyFont="1" applyFill="1" applyBorder="1" applyAlignment="1">
      <alignment horizontal="center" vertical="center" shrinkToFit="1"/>
    </xf>
    <xf numFmtId="177" fontId="6" fillId="0" borderId="1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center" wrapText="1" shrinkToFit="1"/>
    </xf>
    <xf numFmtId="0" fontId="0" fillId="0" borderId="0" xfId="0" applyFont="1" applyFill="1" applyAlignment="1">
      <alignment horizontal="left" vertical="center" shrinkToFit="1"/>
    </xf>
    <xf numFmtId="0" fontId="6" fillId="0" borderId="3" xfId="0" applyFont="1" applyFill="1" applyBorder="1" applyAlignment="1">
      <alignment horizontal="center" vertical="center" shrinkToFit="1"/>
    </xf>
    <xf numFmtId="176" fontId="6" fillId="0" borderId="3" xfId="0" applyNumberFormat="1" applyFont="1" applyFill="1" applyBorder="1" applyAlignment="1">
      <alignment horizontal="center" vertical="center" shrinkToFit="1"/>
    </xf>
    <xf numFmtId="177" fontId="6" fillId="0" borderId="3" xfId="0" applyNumberFormat="1" applyFont="1" applyFill="1" applyBorder="1" applyAlignment="1">
      <alignment horizontal="center" vertical="center" shrinkToFit="1"/>
    </xf>
    <xf numFmtId="0" fontId="6" fillId="0" borderId="3" xfId="0" applyFont="1" applyFill="1" applyBorder="1" applyAlignment="1">
      <alignment horizontal="center" vertical="center" wrapText="1" shrinkToFit="1"/>
    </xf>
    <xf numFmtId="0" fontId="7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shrinkToFit="1"/>
    </xf>
    <xf numFmtId="0" fontId="9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 shrinkToFit="1"/>
    </xf>
    <xf numFmtId="176" fontId="1" fillId="0" borderId="0" xfId="0" applyNumberFormat="1" applyFont="1" applyFill="1" applyAlignment="1">
      <alignment horizontal="center" vertical="center" shrinkToFit="1"/>
    </xf>
    <xf numFmtId="0" fontId="11" fillId="0" borderId="0" xfId="0" applyFont="1" applyFill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ont>
        <color indexed="8"/>
      </font>
      <fill>
        <patternFill patternType="solid">
          <fgColor indexed="29"/>
          <bgColor indexed="2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color indexed="8"/>
      </font>
      <fill>
        <patternFill patternType="solid">
          <fgColor indexed="10"/>
          <bgColor indexed="29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J259"/>
  <sheetViews>
    <sheetView tabSelected="1" view="pageBreakPreview" zoomScaleNormal="100" topLeftCell="A153" workbookViewId="0">
      <selection activeCell="K104" sqref="K104"/>
    </sheetView>
  </sheetViews>
  <sheetFormatPr defaultColWidth="9" defaultRowHeight="14.25"/>
  <cols>
    <col min="1" max="1" width="4.625" style="4" customWidth="1"/>
    <col min="2" max="2" width="6.625" style="5" customWidth="1"/>
    <col min="3" max="3" width="8.625" style="5" customWidth="1"/>
    <col min="4" max="4" width="6.625" style="6" customWidth="1"/>
    <col min="5" max="6" width="4.125" style="5" customWidth="1"/>
    <col min="7" max="7" width="7.00833333333333" style="5" customWidth="1"/>
    <col min="8" max="8" width="9.25833333333333" style="5" customWidth="1"/>
    <col min="9" max="9" width="41.5083333333333" style="7" customWidth="1"/>
    <col min="10" max="10" width="9" style="5"/>
    <col min="11" max="11" width="11.375" style="5" customWidth="1"/>
    <col min="12" max="12" width="9" style="8"/>
    <col min="13" max="14" width="9" style="5"/>
    <col min="15" max="15" width="12.625" style="5"/>
    <col min="16" max="244" width="9" style="5"/>
  </cols>
  <sheetData>
    <row r="1" s="1" customFormat="1" ht="23.25" customHeight="1" spans="1:12">
      <c r="A1" s="9" t="s">
        <v>0</v>
      </c>
      <c r="B1" s="9"/>
      <c r="C1" s="9"/>
      <c r="D1" s="10"/>
      <c r="E1" s="9"/>
      <c r="F1" s="9"/>
      <c r="G1" s="9"/>
      <c r="H1" s="9"/>
      <c r="I1" s="11"/>
      <c r="J1" s="12"/>
    </row>
    <row r="2" s="1" customFormat="1" ht="18.75" customHeight="1" spans="1:12">
      <c r="A2" s="13" t="s">
        <v>1</v>
      </c>
      <c r="B2" s="13"/>
      <c r="C2" s="13"/>
      <c r="D2" s="14"/>
      <c r="E2" s="13"/>
      <c r="F2" s="13"/>
      <c r="G2" s="13"/>
      <c r="H2" s="13"/>
      <c r="I2" s="15"/>
      <c r="J2" s="12"/>
    </row>
    <row r="3" s="2" customFormat="1" ht="17.25" customHeight="1" spans="1:12">
      <c r="A3" s="16" t="s">
        <v>2</v>
      </c>
      <c r="B3" s="16" t="s">
        <v>3</v>
      </c>
      <c r="C3" s="16" t="s">
        <v>4</v>
      </c>
      <c r="D3" s="17" t="s">
        <v>5</v>
      </c>
      <c r="E3" s="18" t="s">
        <v>6</v>
      </c>
      <c r="F3" s="16" t="s">
        <v>7</v>
      </c>
      <c r="G3" s="19" t="s">
        <v>8</v>
      </c>
      <c r="H3" s="20" t="s">
        <v>9</v>
      </c>
      <c r="I3" s="21" t="s">
        <v>10</v>
      </c>
      <c r="J3" s="22"/>
    </row>
    <row r="4" s="2" customFormat="1" ht="17" customHeight="1" spans="1:12">
      <c r="A4" s="23"/>
      <c r="B4" s="23"/>
      <c r="C4" s="23"/>
      <c r="D4" s="24"/>
      <c r="E4" s="18" t="s">
        <v>11</v>
      </c>
      <c r="F4" s="23"/>
      <c r="G4" s="19" t="s">
        <v>12</v>
      </c>
      <c r="H4" s="25"/>
      <c r="I4" s="26"/>
      <c r="J4" s="22"/>
    </row>
    <row r="5" ht="22" customHeight="1" spans="1:12">
      <c r="A5" s="27">
        <v>1301</v>
      </c>
      <c r="B5" s="27" t="s">
        <v>13</v>
      </c>
      <c r="C5" s="27" t="s">
        <v>14</v>
      </c>
      <c r="D5" s="27">
        <v>6702</v>
      </c>
      <c r="E5" s="27">
        <v>2</v>
      </c>
      <c r="F5" s="27">
        <v>2</v>
      </c>
      <c r="G5" s="27">
        <v>291.82</v>
      </c>
      <c r="H5" s="27">
        <v>583.64</v>
      </c>
      <c r="I5" s="28" t="s">
        <v>15</v>
      </c>
    </row>
    <row r="6" ht="22" customHeight="1" spans="1:12">
      <c r="A6" s="27">
        <v>1302</v>
      </c>
      <c r="B6" s="27" t="s">
        <v>13</v>
      </c>
      <c r="C6" s="27" t="s">
        <v>14</v>
      </c>
      <c r="D6" s="27">
        <v>6702</v>
      </c>
      <c r="E6" s="27">
        <v>2</v>
      </c>
      <c r="F6" s="27">
        <v>2</v>
      </c>
      <c r="G6" s="27">
        <v>291.82</v>
      </c>
      <c r="H6" s="27">
        <v>583.64</v>
      </c>
      <c r="I6" s="29"/>
    </row>
    <row r="7" ht="22" customHeight="1" spans="1:12">
      <c r="A7" s="27">
        <v>1601</v>
      </c>
      <c r="B7" s="27" t="s">
        <v>13</v>
      </c>
      <c r="C7" s="27" t="s">
        <v>14</v>
      </c>
      <c r="D7" s="27">
        <v>6601</v>
      </c>
      <c r="E7" s="27">
        <v>2</v>
      </c>
      <c r="F7" s="27">
        <v>2</v>
      </c>
      <c r="G7" s="27">
        <v>287.42</v>
      </c>
      <c r="H7" s="27">
        <v>574.84</v>
      </c>
      <c r="I7" s="29"/>
      <c r="J7" s="5">
        <v>420</v>
      </c>
      <c r="K7" s="5" t="s">
        <v>16</v>
      </c>
      <c r="L7" s="8">
        <v>20</v>
      </c>
    </row>
    <row r="8" ht="22" customHeight="1" spans="1:12">
      <c r="A8" s="27">
        <v>1602</v>
      </c>
      <c r="B8" s="27" t="s">
        <v>13</v>
      </c>
      <c r="C8" s="27" t="s">
        <v>14</v>
      </c>
      <c r="D8" s="27">
        <v>6601</v>
      </c>
      <c r="E8" s="27">
        <v>2</v>
      </c>
      <c r="F8" s="27">
        <v>2</v>
      </c>
      <c r="G8" s="27">
        <v>287.42</v>
      </c>
      <c r="H8" s="27">
        <v>574.84</v>
      </c>
      <c r="I8" s="29"/>
    </row>
    <row r="9" ht="22" customHeight="1" spans="1:12">
      <c r="A9" s="27">
        <v>1201</v>
      </c>
      <c r="B9" s="27" t="s">
        <v>13</v>
      </c>
      <c r="C9" s="27" t="s">
        <v>14</v>
      </c>
      <c r="D9" s="27">
        <v>6284</v>
      </c>
      <c r="E9" s="27">
        <v>2</v>
      </c>
      <c r="F9" s="27">
        <v>4</v>
      </c>
      <c r="G9" s="27">
        <v>273.62</v>
      </c>
      <c r="H9" s="27">
        <v>1094.48</v>
      </c>
      <c r="I9" s="29"/>
    </row>
    <row r="10" ht="22" customHeight="1" spans="1:12">
      <c r="A10" s="27">
        <v>1202</v>
      </c>
      <c r="B10" s="27" t="s">
        <v>13</v>
      </c>
      <c r="C10" s="27" t="s">
        <v>14</v>
      </c>
      <c r="D10" s="27">
        <v>6284</v>
      </c>
      <c r="E10" s="27">
        <v>2</v>
      </c>
      <c r="F10" s="27">
        <v>4</v>
      </c>
      <c r="G10" s="27">
        <v>273.62</v>
      </c>
      <c r="H10" s="27">
        <v>1094.48</v>
      </c>
      <c r="I10" s="29"/>
    </row>
    <row r="11" ht="22" customHeight="1" spans="1:12">
      <c r="A11" s="27">
        <v>1501</v>
      </c>
      <c r="B11" s="27" t="s">
        <v>13</v>
      </c>
      <c r="C11" s="27" t="s">
        <v>14</v>
      </c>
      <c r="D11" s="27">
        <v>6192</v>
      </c>
      <c r="E11" s="27">
        <v>2</v>
      </c>
      <c r="F11" s="27">
        <v>2</v>
      </c>
      <c r="G11" s="27">
        <v>269.61</v>
      </c>
      <c r="H11" s="27">
        <v>539.22</v>
      </c>
      <c r="I11" s="29"/>
      <c r="J11" s="5">
        <v>420</v>
      </c>
      <c r="K11" s="5" t="s">
        <v>17</v>
      </c>
      <c r="L11" s="8">
        <v>4</v>
      </c>
    </row>
    <row r="12" ht="22" customHeight="1" spans="1:12">
      <c r="A12" s="27">
        <v>1502</v>
      </c>
      <c r="B12" s="27" t="s">
        <v>13</v>
      </c>
      <c r="C12" s="27" t="s">
        <v>14</v>
      </c>
      <c r="D12" s="27">
        <v>6192</v>
      </c>
      <c r="E12" s="27">
        <v>2</v>
      </c>
      <c r="F12" s="27">
        <v>2</v>
      </c>
      <c r="G12" s="27">
        <v>269.61</v>
      </c>
      <c r="H12" s="27">
        <v>539.22</v>
      </c>
      <c r="I12" s="30"/>
    </row>
    <row r="13" ht="22" customHeight="1" spans="1:12">
      <c r="A13" s="27"/>
      <c r="B13" s="27"/>
      <c r="C13" s="31"/>
      <c r="D13" s="27"/>
      <c r="E13" s="27"/>
      <c r="F13" s="27"/>
      <c r="G13" s="27"/>
      <c r="H13" s="31">
        <f>SUM(H5:H12)</f>
        <v>5584.36</v>
      </c>
      <c r="I13" s="31"/>
    </row>
    <row r="14" ht="22" customHeight="1" spans="1:12">
      <c r="A14" s="27">
        <v>1101</v>
      </c>
      <c r="B14" s="27" t="s">
        <v>13</v>
      </c>
      <c r="C14" s="27" t="s">
        <v>18</v>
      </c>
      <c r="D14" s="27">
        <v>5101</v>
      </c>
      <c r="E14" s="27">
        <v>2</v>
      </c>
      <c r="F14" s="27">
        <v>4</v>
      </c>
      <c r="G14" s="27">
        <v>173.37</v>
      </c>
      <c r="H14" s="27">
        <v>693.48</v>
      </c>
      <c r="I14" s="28" t="s">
        <v>19</v>
      </c>
    </row>
    <row r="15" ht="22" customHeight="1" spans="1:12">
      <c r="A15" s="27">
        <v>1102</v>
      </c>
      <c r="B15" s="27" t="s">
        <v>13</v>
      </c>
      <c r="C15" s="27" t="s">
        <v>18</v>
      </c>
      <c r="D15" s="27">
        <v>5101</v>
      </c>
      <c r="E15" s="27">
        <v>2</v>
      </c>
      <c r="F15" s="27">
        <v>4</v>
      </c>
      <c r="G15" s="27">
        <v>173.37</v>
      </c>
      <c r="H15" s="27">
        <v>693.48</v>
      </c>
      <c r="I15" s="30"/>
    </row>
    <row r="16" ht="22" customHeight="1" spans="1:12">
      <c r="A16" s="27"/>
      <c r="B16" s="27"/>
      <c r="C16" s="31"/>
      <c r="D16" s="27"/>
      <c r="E16" s="27"/>
      <c r="F16" s="27"/>
      <c r="G16" s="27"/>
      <c r="H16" s="31">
        <f>SUM(H14:H15)</f>
        <v>1386.96</v>
      </c>
      <c r="I16" s="31"/>
    </row>
    <row r="17" ht="21" customHeight="1" spans="1:12">
      <c r="A17" s="27">
        <v>1303</v>
      </c>
      <c r="B17" s="27" t="s">
        <v>13</v>
      </c>
      <c r="C17" s="27" t="s">
        <v>20</v>
      </c>
      <c r="D17" s="27">
        <v>770</v>
      </c>
      <c r="E17" s="27">
        <v>4</v>
      </c>
      <c r="F17" s="27">
        <v>4</v>
      </c>
      <c r="G17" s="27">
        <v>22.63</v>
      </c>
      <c r="H17" s="27">
        <v>90.52</v>
      </c>
      <c r="I17" s="28" t="s">
        <v>21</v>
      </c>
    </row>
    <row r="18" ht="21" customHeight="1" spans="1:12">
      <c r="A18" s="27">
        <v>1503</v>
      </c>
      <c r="B18" s="27" t="s">
        <v>13</v>
      </c>
      <c r="C18" s="27" t="s">
        <v>20</v>
      </c>
      <c r="D18" s="27">
        <v>770</v>
      </c>
      <c r="E18" s="27">
        <v>4</v>
      </c>
      <c r="F18" s="27">
        <v>4</v>
      </c>
      <c r="G18" s="27">
        <v>22.63</v>
      </c>
      <c r="H18" s="27">
        <v>90.52</v>
      </c>
      <c r="I18" s="29"/>
      <c r="J18" s="5">
        <v>420</v>
      </c>
      <c r="K18" s="5" t="s">
        <v>22</v>
      </c>
      <c r="L18" s="8">
        <v>2</v>
      </c>
    </row>
    <row r="19" ht="21" customHeight="1" spans="1:12">
      <c r="A19" s="27">
        <v>1603</v>
      </c>
      <c r="B19" s="27" t="s">
        <v>13</v>
      </c>
      <c r="C19" s="27" t="s">
        <v>20</v>
      </c>
      <c r="D19" s="27">
        <v>770</v>
      </c>
      <c r="E19" s="27">
        <v>4</v>
      </c>
      <c r="F19" s="27">
        <v>4</v>
      </c>
      <c r="G19" s="27">
        <v>22.63</v>
      </c>
      <c r="H19" s="27">
        <v>90.52</v>
      </c>
      <c r="I19" s="29"/>
    </row>
    <row r="20" ht="21" customHeight="1" spans="1:12">
      <c r="A20" s="27">
        <v>1203</v>
      </c>
      <c r="B20" s="27" t="s">
        <v>13</v>
      </c>
      <c r="C20" s="27" t="s">
        <v>20</v>
      </c>
      <c r="D20" s="27">
        <v>727</v>
      </c>
      <c r="E20" s="27">
        <v>4</v>
      </c>
      <c r="F20" s="27">
        <v>8</v>
      </c>
      <c r="G20" s="27">
        <v>21.37</v>
      </c>
      <c r="H20" s="27">
        <v>170.96</v>
      </c>
      <c r="I20" s="30"/>
    </row>
    <row r="21" ht="21" customHeight="1" spans="1:12">
      <c r="A21" s="27"/>
      <c r="B21" s="27"/>
      <c r="C21" s="31"/>
      <c r="D21" s="27"/>
      <c r="E21" s="27"/>
      <c r="F21" s="27"/>
      <c r="G21" s="27"/>
      <c r="H21" s="31">
        <f>SUM(H17:H20)</f>
        <v>442.52</v>
      </c>
      <c r="I21" s="31"/>
    </row>
    <row r="22" ht="21" customHeight="1" spans="1:12">
      <c r="A22" s="27" t="s">
        <v>23</v>
      </c>
      <c r="B22" s="27" t="s">
        <v>13</v>
      </c>
      <c r="C22" s="27" t="s">
        <v>24</v>
      </c>
      <c r="D22" s="27">
        <v>7060</v>
      </c>
      <c r="E22" s="27">
        <v>2</v>
      </c>
      <c r="F22" s="27">
        <v>2</v>
      </c>
      <c r="G22" s="27">
        <v>180.19</v>
      </c>
      <c r="H22" s="27">
        <v>360.38</v>
      </c>
      <c r="I22" s="31" t="s">
        <v>21</v>
      </c>
      <c r="J22" s="5">
        <v>420</v>
      </c>
      <c r="K22" s="5" t="s">
        <v>25</v>
      </c>
      <c r="L22" s="8">
        <v>2</v>
      </c>
    </row>
    <row r="23" ht="21" customHeight="1" spans="1:12">
      <c r="A23" s="27"/>
      <c r="B23" s="27"/>
      <c r="C23" s="31"/>
      <c r="D23" s="27"/>
      <c r="E23" s="27"/>
      <c r="F23" s="27"/>
      <c r="G23" s="27"/>
      <c r="H23" s="31"/>
      <c r="I23" s="31"/>
      <c r="J23" s="5">
        <v>420</v>
      </c>
      <c r="K23" s="5" t="s">
        <v>26</v>
      </c>
      <c r="L23" s="8">
        <v>4</v>
      </c>
    </row>
    <row r="24" ht="21" customHeight="1" spans="1:12">
      <c r="A24" s="27">
        <v>1001</v>
      </c>
      <c r="B24" s="27" t="s">
        <v>13</v>
      </c>
      <c r="C24" s="27" t="s">
        <v>27</v>
      </c>
      <c r="D24" s="27">
        <v>5508</v>
      </c>
      <c r="E24" s="27">
        <v>2</v>
      </c>
      <c r="F24" s="27">
        <v>4</v>
      </c>
      <c r="G24" s="27">
        <v>118.36</v>
      </c>
      <c r="H24" s="27">
        <v>473.44</v>
      </c>
      <c r="I24" s="28" t="s">
        <v>28</v>
      </c>
      <c r="J24" s="5">
        <v>420</v>
      </c>
      <c r="K24" s="5" t="s">
        <v>29</v>
      </c>
      <c r="L24" s="8">
        <v>2</v>
      </c>
    </row>
    <row r="25" ht="21" customHeight="1" spans="1:12">
      <c r="A25" s="27">
        <v>1002</v>
      </c>
      <c r="B25" s="27" t="s">
        <v>13</v>
      </c>
      <c r="C25" s="27" t="s">
        <v>27</v>
      </c>
      <c r="D25" s="27">
        <v>5508</v>
      </c>
      <c r="E25" s="27">
        <v>2</v>
      </c>
      <c r="F25" s="27">
        <v>4</v>
      </c>
      <c r="G25" s="27">
        <v>118.36</v>
      </c>
      <c r="H25" s="27">
        <v>473.44</v>
      </c>
      <c r="I25" s="30"/>
      <c r="J25" s="5">
        <v>420</v>
      </c>
      <c r="K25" s="5" t="s">
        <v>30</v>
      </c>
      <c r="L25" s="8">
        <v>2</v>
      </c>
    </row>
    <row r="26" ht="21" customHeight="1" spans="1:12">
      <c r="A26" s="27" t="s">
        <v>31</v>
      </c>
      <c r="B26" s="27" t="s">
        <v>13</v>
      </c>
      <c r="C26" s="27" t="s">
        <v>27</v>
      </c>
      <c r="D26" s="27">
        <v>4437</v>
      </c>
      <c r="E26" s="27">
        <v>2</v>
      </c>
      <c r="F26" s="27">
        <v>2</v>
      </c>
      <c r="G26" s="27">
        <v>95.34</v>
      </c>
      <c r="H26" s="27">
        <v>190.68</v>
      </c>
      <c r="I26" s="28" t="s">
        <v>32</v>
      </c>
    </row>
    <row r="27" ht="21" customHeight="1" spans="1:12">
      <c r="A27" s="27" t="s">
        <v>33</v>
      </c>
      <c r="B27" s="27" t="s">
        <v>13</v>
      </c>
      <c r="C27" s="27" t="s">
        <v>27</v>
      </c>
      <c r="D27" s="27">
        <v>4437</v>
      </c>
      <c r="E27" s="27">
        <v>2</v>
      </c>
      <c r="F27" s="27">
        <v>2</v>
      </c>
      <c r="G27" s="27">
        <v>95.34</v>
      </c>
      <c r="H27" s="27">
        <v>190.68</v>
      </c>
      <c r="I27" s="30"/>
    </row>
    <row r="28" ht="21" customHeight="1" spans="1:12">
      <c r="A28" s="27"/>
      <c r="B28" s="27"/>
      <c r="C28" s="31"/>
      <c r="D28" s="27"/>
      <c r="E28" s="27"/>
      <c r="F28" s="27"/>
      <c r="G28" s="27"/>
      <c r="H28" s="31">
        <f>SUM(H24:H27)</f>
        <v>1328.24</v>
      </c>
      <c r="I28" s="31"/>
    </row>
    <row r="29" ht="21" customHeight="1" spans="1:12">
      <c r="A29" s="27" t="s">
        <v>34</v>
      </c>
      <c r="B29" s="27" t="s">
        <v>13</v>
      </c>
      <c r="C29" s="27" t="s">
        <v>35</v>
      </c>
      <c r="D29" s="27">
        <v>5074</v>
      </c>
      <c r="E29" s="27">
        <v>2</v>
      </c>
      <c r="F29" s="27">
        <v>2</v>
      </c>
      <c r="G29" s="27">
        <v>115.16</v>
      </c>
      <c r="H29" s="27">
        <v>230.32</v>
      </c>
      <c r="I29" s="28" t="s">
        <v>36</v>
      </c>
    </row>
    <row r="30" ht="21" customHeight="1" spans="1:12">
      <c r="A30" s="27" t="s">
        <v>37</v>
      </c>
      <c r="B30" s="27" t="s">
        <v>13</v>
      </c>
      <c r="C30" s="27" t="s">
        <v>35</v>
      </c>
      <c r="D30" s="27">
        <v>5074</v>
      </c>
      <c r="E30" s="27">
        <v>2</v>
      </c>
      <c r="F30" s="27">
        <v>2</v>
      </c>
      <c r="G30" s="27">
        <v>115.16</v>
      </c>
      <c r="H30" s="27">
        <v>230.32</v>
      </c>
      <c r="I30" s="30"/>
    </row>
    <row r="31" ht="21" customHeight="1" spans="1:12">
      <c r="A31" s="27"/>
      <c r="B31" s="27"/>
      <c r="C31" s="31"/>
      <c r="D31" s="27"/>
      <c r="E31" s="27"/>
      <c r="F31" s="27"/>
      <c r="G31" s="27"/>
      <c r="H31" s="31">
        <f>SUM(H29:H30)</f>
        <v>460.64</v>
      </c>
      <c r="I31" s="31"/>
    </row>
    <row r="32" ht="21" customHeight="1" spans="1:12">
      <c r="A32" s="27" t="s">
        <v>38</v>
      </c>
      <c r="B32" s="27" t="s">
        <v>13</v>
      </c>
      <c r="C32" s="27" t="s">
        <v>39</v>
      </c>
      <c r="D32" s="27">
        <v>7060</v>
      </c>
      <c r="E32" s="27">
        <v>2</v>
      </c>
      <c r="F32" s="27">
        <v>2</v>
      </c>
      <c r="G32" s="27">
        <v>135.08</v>
      </c>
      <c r="H32" s="27">
        <v>270.16</v>
      </c>
      <c r="I32" s="28" t="s">
        <v>40</v>
      </c>
    </row>
    <row r="33" ht="21" customHeight="1" spans="1:13">
      <c r="A33" s="27" t="s">
        <v>41</v>
      </c>
      <c r="B33" s="27" t="s">
        <v>13</v>
      </c>
      <c r="C33" s="27" t="s">
        <v>39</v>
      </c>
      <c r="D33" s="27">
        <v>7060</v>
      </c>
      <c r="E33" s="27">
        <v>2</v>
      </c>
      <c r="F33" s="27">
        <v>2</v>
      </c>
      <c r="G33" s="27">
        <v>135.08</v>
      </c>
      <c r="H33" s="27">
        <v>270.16</v>
      </c>
      <c r="I33" s="29"/>
      <c r="J33" s="5">
        <v>420</v>
      </c>
      <c r="K33" s="5" t="s">
        <v>42</v>
      </c>
      <c r="L33" s="8">
        <v>8</v>
      </c>
    </row>
    <row r="34" ht="21" customHeight="1" spans="1:13">
      <c r="A34" s="27" t="s">
        <v>43</v>
      </c>
      <c r="B34" s="27" t="s">
        <v>13</v>
      </c>
      <c r="C34" s="27" t="s">
        <v>39</v>
      </c>
      <c r="D34" s="27">
        <v>7060</v>
      </c>
      <c r="E34" s="27">
        <v>2</v>
      </c>
      <c r="F34" s="27">
        <v>2</v>
      </c>
      <c r="G34" s="27">
        <v>135.08</v>
      </c>
      <c r="H34" s="27">
        <v>270.16</v>
      </c>
      <c r="I34" s="29"/>
    </row>
    <row r="35" ht="21" customHeight="1" spans="1:13">
      <c r="A35" s="27" t="s">
        <v>44</v>
      </c>
      <c r="B35" s="27" t="s">
        <v>13</v>
      </c>
      <c r="C35" s="27" t="s">
        <v>39</v>
      </c>
      <c r="D35" s="27">
        <v>7060</v>
      </c>
      <c r="E35" s="27">
        <v>2</v>
      </c>
      <c r="F35" s="27">
        <v>2</v>
      </c>
      <c r="G35" s="27">
        <v>135.08</v>
      </c>
      <c r="H35" s="27">
        <v>270.16</v>
      </c>
      <c r="I35" s="29"/>
      <c r="J35" s="5">
        <v>420</v>
      </c>
      <c r="K35" s="5" t="s">
        <v>45</v>
      </c>
      <c r="L35" s="8">
        <v>2</v>
      </c>
      <c r="M35" s="5" t="s">
        <v>46</v>
      </c>
    </row>
    <row r="36" ht="21" customHeight="1" spans="1:13">
      <c r="A36" s="27">
        <v>1103</v>
      </c>
      <c r="B36" s="27" t="s">
        <v>13</v>
      </c>
      <c r="C36" s="27" t="s">
        <v>39</v>
      </c>
      <c r="D36" s="27">
        <v>630</v>
      </c>
      <c r="E36" s="27">
        <v>4</v>
      </c>
      <c r="F36" s="27">
        <v>8</v>
      </c>
      <c r="G36" s="27">
        <v>12.05</v>
      </c>
      <c r="H36" s="27">
        <v>96.4</v>
      </c>
      <c r="I36" s="30"/>
    </row>
    <row r="37" ht="21" customHeight="1" spans="1:13">
      <c r="A37" s="27" t="s">
        <v>47</v>
      </c>
      <c r="B37" s="27" t="s">
        <v>13</v>
      </c>
      <c r="C37" s="27" t="s">
        <v>39</v>
      </c>
      <c r="D37" s="27">
        <v>4936</v>
      </c>
      <c r="E37" s="27">
        <v>2</v>
      </c>
      <c r="F37" s="27">
        <v>2</v>
      </c>
      <c r="G37" s="27">
        <v>94.44</v>
      </c>
      <c r="H37" s="27">
        <v>188.88</v>
      </c>
      <c r="I37" s="28" t="s">
        <v>32</v>
      </c>
    </row>
    <row r="38" ht="21" customHeight="1" spans="1:13">
      <c r="A38" s="27" t="s">
        <v>48</v>
      </c>
      <c r="B38" s="27" t="s">
        <v>13</v>
      </c>
      <c r="C38" s="27" t="s">
        <v>39</v>
      </c>
      <c r="D38" s="27">
        <v>4936</v>
      </c>
      <c r="E38" s="27">
        <v>2</v>
      </c>
      <c r="F38" s="27">
        <v>2</v>
      </c>
      <c r="G38" s="27">
        <v>94.44</v>
      </c>
      <c r="H38" s="27">
        <v>188.88</v>
      </c>
      <c r="I38" s="30"/>
    </row>
    <row r="39" ht="21" customHeight="1" spans="1:13">
      <c r="A39" s="27"/>
      <c r="B39" s="27"/>
      <c r="C39" s="31"/>
      <c r="D39" s="27"/>
      <c r="E39" s="27"/>
      <c r="F39" s="27"/>
      <c r="G39" s="27"/>
      <c r="H39" s="31">
        <f>SUM(H32:H38)</f>
        <v>1554.8</v>
      </c>
      <c r="I39" s="31"/>
    </row>
    <row r="40" ht="21" customHeight="1" spans="1:13">
      <c r="A40" s="27" t="s">
        <v>49</v>
      </c>
      <c r="B40" s="27" t="s">
        <v>50</v>
      </c>
      <c r="C40" s="27" t="s">
        <v>27</v>
      </c>
      <c r="D40" s="27">
        <v>100</v>
      </c>
      <c r="E40" s="27">
        <v>1</v>
      </c>
      <c r="F40" s="27">
        <v>6</v>
      </c>
      <c r="G40" s="27">
        <v>2.15</v>
      </c>
      <c r="H40" s="27">
        <v>12.9</v>
      </c>
      <c r="I40" s="31" t="s">
        <v>51</v>
      </c>
    </row>
    <row r="41" ht="21" customHeight="1" spans="1:13">
      <c r="A41" s="27"/>
      <c r="B41" s="27"/>
      <c r="C41" s="31"/>
      <c r="D41" s="27"/>
      <c r="E41" s="27"/>
      <c r="F41" s="27"/>
      <c r="G41" s="27"/>
      <c r="H41" s="31"/>
      <c r="I41" s="31" t="s">
        <v>52</v>
      </c>
    </row>
    <row r="42" ht="21" customHeight="1" spans="1:13">
      <c r="A42" s="27">
        <v>1104</v>
      </c>
      <c r="B42" s="27" t="s">
        <v>53</v>
      </c>
      <c r="C42" s="27" t="s">
        <v>39</v>
      </c>
      <c r="D42" s="27">
        <v>2869</v>
      </c>
      <c r="E42" s="27">
        <v>2</v>
      </c>
      <c r="F42" s="27">
        <v>4</v>
      </c>
      <c r="G42" s="27">
        <v>54.89</v>
      </c>
      <c r="H42" s="27">
        <v>219.56</v>
      </c>
      <c r="I42" s="28" t="s">
        <v>54</v>
      </c>
      <c r="J42" s="5">
        <v>345</v>
      </c>
      <c r="K42" s="5" t="s">
        <v>55</v>
      </c>
      <c r="L42" s="8">
        <v>2</v>
      </c>
    </row>
    <row r="43" ht="21" customHeight="1" spans="1:13">
      <c r="A43" s="27">
        <v>1105</v>
      </c>
      <c r="B43" s="27" t="s">
        <v>53</v>
      </c>
      <c r="C43" s="27" t="s">
        <v>39</v>
      </c>
      <c r="D43" s="27">
        <v>2869</v>
      </c>
      <c r="E43" s="27">
        <v>2</v>
      </c>
      <c r="F43" s="27">
        <v>4</v>
      </c>
      <c r="G43" s="27">
        <v>54.89</v>
      </c>
      <c r="H43" s="27">
        <v>219.56</v>
      </c>
      <c r="I43" s="30"/>
    </row>
    <row r="44" ht="21" customHeight="1" spans="1:13">
      <c r="A44" s="27"/>
      <c r="B44" s="27"/>
      <c r="C44" s="31"/>
      <c r="D44" s="27"/>
      <c r="E44" s="27"/>
      <c r="F44" s="27"/>
      <c r="G44" s="27"/>
      <c r="H44" s="31">
        <f>SUM(H42:H43)</f>
        <v>439.12</v>
      </c>
      <c r="I44" s="31"/>
    </row>
    <row r="45" ht="22" customHeight="1" spans="1:13">
      <c r="A45" s="27" t="s">
        <v>56</v>
      </c>
      <c r="B45" s="27" t="s">
        <v>53</v>
      </c>
      <c r="C45" s="27" t="s">
        <v>57</v>
      </c>
      <c r="D45" s="27">
        <v>8125</v>
      </c>
      <c r="E45" s="27">
        <v>2</v>
      </c>
      <c r="F45" s="27">
        <v>2</v>
      </c>
      <c r="G45" s="27">
        <v>109.95</v>
      </c>
      <c r="H45" s="27">
        <v>219.9</v>
      </c>
      <c r="I45" s="28" t="s">
        <v>58</v>
      </c>
    </row>
    <row r="46" ht="22" customHeight="1" spans="1:13">
      <c r="A46" s="27" t="s">
        <v>59</v>
      </c>
      <c r="B46" s="27" t="s">
        <v>53</v>
      </c>
      <c r="C46" s="27" t="s">
        <v>57</v>
      </c>
      <c r="D46" s="27">
        <v>8125</v>
      </c>
      <c r="E46" s="27">
        <v>2</v>
      </c>
      <c r="F46" s="27">
        <v>2</v>
      </c>
      <c r="G46" s="27">
        <v>109.95</v>
      </c>
      <c r="H46" s="27">
        <v>219.9</v>
      </c>
      <c r="I46" s="29"/>
    </row>
    <row r="47" ht="22" customHeight="1" spans="1:13">
      <c r="A47" s="27" t="s">
        <v>60</v>
      </c>
      <c r="B47" s="27" t="s">
        <v>50</v>
      </c>
      <c r="C47" s="27" t="s">
        <v>57</v>
      </c>
      <c r="D47" s="27">
        <v>500</v>
      </c>
      <c r="E47" s="27">
        <v>1</v>
      </c>
      <c r="F47" s="27">
        <v>6</v>
      </c>
      <c r="G47" s="27">
        <v>6.77</v>
      </c>
      <c r="H47" s="27">
        <v>40.62</v>
      </c>
      <c r="I47" s="30"/>
      <c r="J47" s="5">
        <v>345</v>
      </c>
      <c r="K47" s="5" t="s">
        <v>61</v>
      </c>
      <c r="L47" s="8">
        <v>4</v>
      </c>
    </row>
    <row r="48" ht="22" customHeight="1" spans="1:13">
      <c r="A48" s="27"/>
      <c r="B48" s="27"/>
      <c r="C48" s="31"/>
      <c r="D48" s="27"/>
      <c r="E48" s="27"/>
      <c r="F48" s="27"/>
      <c r="G48" s="27"/>
      <c r="H48" s="31">
        <f>SUM(H45:H47)</f>
        <v>480.42</v>
      </c>
      <c r="I48" s="31" t="s">
        <v>62</v>
      </c>
    </row>
    <row r="49" ht="22" customHeight="1" spans="1:13">
      <c r="A49" s="27" t="s">
        <v>63</v>
      </c>
      <c r="B49" s="27" t="s">
        <v>53</v>
      </c>
      <c r="C49" s="27" t="s">
        <v>64</v>
      </c>
      <c r="D49" s="27">
        <v>621</v>
      </c>
      <c r="E49" s="27">
        <v>2</v>
      </c>
      <c r="F49" s="27">
        <v>2</v>
      </c>
      <c r="G49" s="27">
        <v>10.36</v>
      </c>
      <c r="H49" s="27">
        <v>20.72</v>
      </c>
      <c r="I49" s="28" t="s">
        <v>65</v>
      </c>
    </row>
    <row r="50" ht="22" customHeight="1" spans="1:13">
      <c r="A50" s="27" t="s">
        <v>66</v>
      </c>
      <c r="B50" s="27" t="s">
        <v>53</v>
      </c>
      <c r="C50" s="27" t="s">
        <v>64</v>
      </c>
      <c r="D50" s="27">
        <v>621</v>
      </c>
      <c r="E50" s="27">
        <v>2</v>
      </c>
      <c r="F50" s="27">
        <v>2</v>
      </c>
      <c r="G50" s="27">
        <v>10.36</v>
      </c>
      <c r="H50" s="27">
        <v>20.72</v>
      </c>
      <c r="I50" s="29"/>
      <c r="J50" s="5">
        <v>345</v>
      </c>
      <c r="K50" s="5" t="s">
        <v>67</v>
      </c>
      <c r="L50" s="8">
        <v>1</v>
      </c>
    </row>
    <row r="51" ht="22" customHeight="1" spans="1:13">
      <c r="A51" s="27">
        <v>1003</v>
      </c>
      <c r="B51" s="27" t="s">
        <v>53</v>
      </c>
      <c r="C51" s="27" t="s">
        <v>64</v>
      </c>
      <c r="D51" s="27">
        <v>550</v>
      </c>
      <c r="E51" s="27">
        <v>4</v>
      </c>
      <c r="F51" s="27">
        <v>8</v>
      </c>
      <c r="G51" s="27">
        <v>9.18</v>
      </c>
      <c r="H51" s="27">
        <v>73.44</v>
      </c>
      <c r="I51" s="30"/>
    </row>
    <row r="52" ht="22" customHeight="1" spans="1:13">
      <c r="A52" s="27"/>
      <c r="B52" s="27"/>
      <c r="C52" s="31"/>
      <c r="D52" s="27"/>
      <c r="E52" s="27"/>
      <c r="F52" s="27"/>
      <c r="G52" s="27"/>
      <c r="H52" s="31">
        <f>SUM(H49:H51)</f>
        <v>114.88</v>
      </c>
      <c r="I52" s="31"/>
    </row>
    <row r="53" ht="22" customHeight="1" spans="1:13">
      <c r="A53" s="27">
        <v>2101</v>
      </c>
      <c r="B53" s="27" t="s">
        <v>53</v>
      </c>
      <c r="C53" s="27" t="s">
        <v>68</v>
      </c>
      <c r="D53" s="27">
        <v>3406</v>
      </c>
      <c r="E53" s="27">
        <v>2</v>
      </c>
      <c r="F53" s="27">
        <v>4</v>
      </c>
      <c r="G53" s="27">
        <v>41.81</v>
      </c>
      <c r="H53" s="27">
        <v>167.24</v>
      </c>
      <c r="I53" s="28" t="s">
        <v>69</v>
      </c>
    </row>
    <row r="54" ht="22" customHeight="1" spans="1:13">
      <c r="A54" s="27">
        <v>2102</v>
      </c>
      <c r="B54" s="27" t="s">
        <v>53</v>
      </c>
      <c r="C54" s="27" t="s">
        <v>68</v>
      </c>
      <c r="D54" s="27">
        <v>3406</v>
      </c>
      <c r="E54" s="27">
        <v>2</v>
      </c>
      <c r="F54" s="27">
        <v>4</v>
      </c>
      <c r="G54" s="27">
        <v>41.81</v>
      </c>
      <c r="H54" s="27">
        <v>167.24</v>
      </c>
      <c r="I54" s="30"/>
    </row>
    <row r="55" ht="22" customHeight="1" spans="1:13">
      <c r="A55" s="27">
        <v>1208</v>
      </c>
      <c r="B55" s="27" t="s">
        <v>53</v>
      </c>
      <c r="C55" s="27" t="s">
        <v>68</v>
      </c>
      <c r="D55" s="27">
        <v>1831</v>
      </c>
      <c r="E55" s="27">
        <v>4</v>
      </c>
      <c r="F55" s="27">
        <v>8</v>
      </c>
      <c r="G55" s="27">
        <v>22.48</v>
      </c>
      <c r="H55" s="27">
        <v>179.84</v>
      </c>
      <c r="I55" s="28" t="s">
        <v>70</v>
      </c>
      <c r="J55" s="5">
        <v>345</v>
      </c>
      <c r="K55" s="5" t="s">
        <v>71</v>
      </c>
      <c r="L55" s="8">
        <v>4</v>
      </c>
      <c r="M55" s="5" t="s">
        <v>46</v>
      </c>
    </row>
    <row r="56" ht="22" customHeight="1" spans="1:13">
      <c r="A56" s="27">
        <v>1209</v>
      </c>
      <c r="B56" s="27" t="s">
        <v>53</v>
      </c>
      <c r="C56" s="27" t="s">
        <v>68</v>
      </c>
      <c r="D56" s="27">
        <v>1831</v>
      </c>
      <c r="E56" s="27">
        <v>4</v>
      </c>
      <c r="F56" s="27">
        <v>8</v>
      </c>
      <c r="G56" s="27">
        <v>22.48</v>
      </c>
      <c r="H56" s="27">
        <v>179.84</v>
      </c>
      <c r="I56" s="29"/>
      <c r="J56" s="5">
        <v>345</v>
      </c>
      <c r="K56" s="5" t="s">
        <v>72</v>
      </c>
      <c r="L56" s="8">
        <v>2</v>
      </c>
    </row>
    <row r="57" ht="22" customHeight="1" spans="1:13">
      <c r="A57" s="27">
        <v>1006</v>
      </c>
      <c r="B57" s="27" t="s">
        <v>53</v>
      </c>
      <c r="C57" s="27" t="s">
        <v>68</v>
      </c>
      <c r="D57" s="27">
        <v>1723</v>
      </c>
      <c r="E57" s="27">
        <v>2</v>
      </c>
      <c r="F57" s="27">
        <v>4</v>
      </c>
      <c r="G57" s="27">
        <v>21.15</v>
      </c>
      <c r="H57" s="27">
        <v>84.6</v>
      </c>
      <c r="I57" s="29"/>
      <c r="J57" s="5">
        <v>345</v>
      </c>
      <c r="K57" s="5" t="s">
        <v>73</v>
      </c>
      <c r="L57" s="8">
        <v>2</v>
      </c>
    </row>
    <row r="58" ht="22" customHeight="1" spans="1:13">
      <c r="A58" s="27">
        <v>1074</v>
      </c>
      <c r="B58" s="27" t="s">
        <v>53</v>
      </c>
      <c r="C58" s="27" t="s">
        <v>68</v>
      </c>
      <c r="D58" s="27">
        <v>607</v>
      </c>
      <c r="E58" s="27">
        <v>2</v>
      </c>
      <c r="F58" s="27">
        <v>4</v>
      </c>
      <c r="G58" s="27">
        <v>7.45</v>
      </c>
      <c r="H58" s="27">
        <v>29.8</v>
      </c>
      <c r="I58" s="29"/>
    </row>
    <row r="59" ht="22" customHeight="1" spans="1:13">
      <c r="A59" s="27">
        <v>1075</v>
      </c>
      <c r="B59" s="27" t="s">
        <v>53</v>
      </c>
      <c r="C59" s="27" t="s">
        <v>68</v>
      </c>
      <c r="D59" s="27">
        <v>607</v>
      </c>
      <c r="E59" s="27">
        <v>2</v>
      </c>
      <c r="F59" s="27">
        <v>4</v>
      </c>
      <c r="G59" s="27">
        <v>7.45</v>
      </c>
      <c r="H59" s="27">
        <v>29.8</v>
      </c>
      <c r="I59" s="30"/>
    </row>
    <row r="60" ht="22" customHeight="1" spans="1:13">
      <c r="A60" s="27"/>
      <c r="B60" s="27"/>
      <c r="C60" s="31"/>
      <c r="D60" s="27"/>
      <c r="E60" s="27"/>
      <c r="F60" s="27"/>
      <c r="G60" s="27"/>
      <c r="H60" s="31">
        <f>SUM(H53:H59)</f>
        <v>838.36</v>
      </c>
      <c r="I60" s="31"/>
    </row>
    <row r="61" ht="22" customHeight="1" spans="1:13">
      <c r="A61" s="27">
        <v>1304</v>
      </c>
      <c r="B61" s="27" t="s">
        <v>53</v>
      </c>
      <c r="C61" s="27" t="s">
        <v>74</v>
      </c>
      <c r="D61" s="27">
        <v>5007</v>
      </c>
      <c r="E61" s="27">
        <v>4</v>
      </c>
      <c r="F61" s="27">
        <v>4</v>
      </c>
      <c r="G61" s="27">
        <v>54.23</v>
      </c>
      <c r="H61" s="27">
        <v>216.92</v>
      </c>
      <c r="I61" s="28" t="s">
        <v>75</v>
      </c>
    </row>
    <row r="62" ht="22" customHeight="1" spans="1:13">
      <c r="A62" s="27">
        <v>1305</v>
      </c>
      <c r="B62" s="27" t="s">
        <v>53</v>
      </c>
      <c r="C62" s="27" t="s">
        <v>74</v>
      </c>
      <c r="D62" s="27">
        <v>5007</v>
      </c>
      <c r="E62" s="27">
        <v>4</v>
      </c>
      <c r="F62" s="27">
        <v>4</v>
      </c>
      <c r="G62" s="27">
        <v>54.23</v>
      </c>
      <c r="H62" s="27">
        <v>216.92</v>
      </c>
      <c r="I62" s="29"/>
    </row>
    <row r="63" ht="22" customHeight="1" spans="1:13">
      <c r="A63" s="27">
        <v>2001</v>
      </c>
      <c r="B63" s="27" t="s">
        <v>53</v>
      </c>
      <c r="C63" s="27" t="s">
        <v>74</v>
      </c>
      <c r="D63" s="27">
        <v>2933</v>
      </c>
      <c r="E63" s="27">
        <v>2</v>
      </c>
      <c r="F63" s="27">
        <v>4</v>
      </c>
      <c r="G63" s="27">
        <v>31.76</v>
      </c>
      <c r="H63" s="27">
        <v>127.04</v>
      </c>
      <c r="I63" s="29"/>
      <c r="J63" s="5">
        <v>345</v>
      </c>
      <c r="K63" s="5" t="s">
        <v>76</v>
      </c>
      <c r="L63" s="8">
        <v>8</v>
      </c>
      <c r="M63" s="5" t="s">
        <v>46</v>
      </c>
    </row>
    <row r="64" ht="22" customHeight="1" spans="1:13">
      <c r="A64" s="27">
        <v>2002</v>
      </c>
      <c r="B64" s="27" t="s">
        <v>53</v>
      </c>
      <c r="C64" s="27" t="s">
        <v>74</v>
      </c>
      <c r="D64" s="27">
        <v>2933</v>
      </c>
      <c r="E64" s="27">
        <v>2</v>
      </c>
      <c r="F64" s="27">
        <v>4</v>
      </c>
      <c r="G64" s="27">
        <v>31.76</v>
      </c>
      <c r="H64" s="27">
        <v>127.04</v>
      </c>
      <c r="I64" s="29"/>
    </row>
    <row r="65" ht="22" customHeight="1" spans="1:12">
      <c r="A65" s="27">
        <v>1004</v>
      </c>
      <c r="B65" s="27" t="s">
        <v>53</v>
      </c>
      <c r="C65" s="27" t="s">
        <v>74</v>
      </c>
      <c r="D65" s="27">
        <v>2312</v>
      </c>
      <c r="E65" s="27">
        <v>2</v>
      </c>
      <c r="F65" s="27">
        <v>4</v>
      </c>
      <c r="G65" s="27">
        <v>25.04</v>
      </c>
      <c r="H65" s="27">
        <v>100.16</v>
      </c>
      <c r="I65" s="29"/>
    </row>
    <row r="66" ht="22" customHeight="1" spans="1:12">
      <c r="A66" s="27">
        <v>1005</v>
      </c>
      <c r="B66" s="27" t="s">
        <v>53</v>
      </c>
      <c r="C66" s="27" t="s">
        <v>74</v>
      </c>
      <c r="D66" s="27">
        <v>2312</v>
      </c>
      <c r="E66" s="27">
        <v>2</v>
      </c>
      <c r="F66" s="27">
        <v>4</v>
      </c>
      <c r="G66" s="27">
        <v>25.04</v>
      </c>
      <c r="H66" s="27">
        <v>100.16</v>
      </c>
      <c r="I66" s="29"/>
    </row>
    <row r="67" ht="22" customHeight="1" spans="1:12">
      <c r="A67" s="27">
        <v>1076</v>
      </c>
      <c r="B67" s="27" t="s">
        <v>53</v>
      </c>
      <c r="C67" s="27" t="s">
        <v>74</v>
      </c>
      <c r="D67" s="27">
        <v>602</v>
      </c>
      <c r="E67" s="27">
        <v>2</v>
      </c>
      <c r="F67" s="27">
        <v>4</v>
      </c>
      <c r="G67" s="27">
        <v>6.52</v>
      </c>
      <c r="H67" s="27">
        <v>26.08</v>
      </c>
      <c r="I67" s="29"/>
    </row>
    <row r="68" ht="22" customHeight="1" spans="1:12">
      <c r="A68" s="27">
        <v>1077</v>
      </c>
      <c r="B68" s="27" t="s">
        <v>53</v>
      </c>
      <c r="C68" s="27" t="s">
        <v>74</v>
      </c>
      <c r="D68" s="27">
        <v>602</v>
      </c>
      <c r="E68" s="27">
        <v>2</v>
      </c>
      <c r="F68" s="27">
        <v>4</v>
      </c>
      <c r="G68" s="27">
        <v>6.52</v>
      </c>
      <c r="H68" s="27">
        <v>26.08</v>
      </c>
      <c r="I68" s="30"/>
      <c r="J68" s="5">
        <v>345</v>
      </c>
      <c r="K68" s="5" t="s">
        <v>77</v>
      </c>
      <c r="L68" s="8">
        <v>1</v>
      </c>
    </row>
    <row r="69" ht="22" customHeight="1" spans="1:12">
      <c r="A69" s="27">
        <v>1013</v>
      </c>
      <c r="B69" s="27" t="s">
        <v>53</v>
      </c>
      <c r="C69" s="27" t="s">
        <v>74</v>
      </c>
      <c r="D69" s="27">
        <v>1245</v>
      </c>
      <c r="E69" s="27">
        <v>2</v>
      </c>
      <c r="F69" s="27">
        <v>4</v>
      </c>
      <c r="G69" s="27">
        <v>13.48</v>
      </c>
      <c r="H69" s="27">
        <v>53.92</v>
      </c>
      <c r="I69" s="31" t="s">
        <v>65</v>
      </c>
      <c r="J69" s="5">
        <v>345</v>
      </c>
      <c r="K69" s="5" t="s">
        <v>78</v>
      </c>
      <c r="L69" s="8">
        <v>4</v>
      </c>
    </row>
    <row r="70" ht="22" customHeight="1" spans="1:12">
      <c r="A70" s="27"/>
      <c r="B70" s="27"/>
      <c r="C70" s="31"/>
      <c r="D70" s="27"/>
      <c r="E70" s="27"/>
      <c r="F70" s="27"/>
      <c r="G70" s="27"/>
      <c r="H70" s="31">
        <f>SUM(H61:H69)</f>
        <v>994.32</v>
      </c>
      <c r="I70" s="31"/>
    </row>
    <row r="71" ht="22" customHeight="1" spans="1:12">
      <c r="A71" s="27" t="s">
        <v>79</v>
      </c>
      <c r="B71" s="27" t="s">
        <v>53</v>
      </c>
      <c r="C71" s="27" t="s">
        <v>80</v>
      </c>
      <c r="D71" s="27">
        <v>5053</v>
      </c>
      <c r="E71" s="27">
        <v>1</v>
      </c>
      <c r="F71" s="27">
        <v>1</v>
      </c>
      <c r="G71" s="27">
        <v>76.4</v>
      </c>
      <c r="H71" s="27">
        <v>76.4</v>
      </c>
      <c r="I71" s="28" t="s">
        <v>81</v>
      </c>
    </row>
    <row r="72" ht="22" customHeight="1" spans="1:12">
      <c r="A72" s="27" t="s">
        <v>82</v>
      </c>
      <c r="B72" s="27" t="s">
        <v>53</v>
      </c>
      <c r="C72" s="27" t="s">
        <v>80</v>
      </c>
      <c r="D72" s="27">
        <v>5053</v>
      </c>
      <c r="E72" s="27">
        <v>2</v>
      </c>
      <c r="F72" s="27">
        <v>2</v>
      </c>
      <c r="G72" s="27">
        <v>76.4</v>
      </c>
      <c r="H72" s="27">
        <v>152.8</v>
      </c>
      <c r="I72" s="29"/>
    </row>
    <row r="73" ht="22" customHeight="1" spans="1:12">
      <c r="A73" s="27" t="s">
        <v>83</v>
      </c>
      <c r="B73" s="27" t="s">
        <v>53</v>
      </c>
      <c r="C73" s="27" t="s">
        <v>80</v>
      </c>
      <c r="D73" s="27">
        <v>5053</v>
      </c>
      <c r="E73" s="27">
        <v>1</v>
      </c>
      <c r="F73" s="27">
        <v>1</v>
      </c>
      <c r="G73" s="27">
        <v>76.4</v>
      </c>
      <c r="H73" s="27">
        <v>76.4</v>
      </c>
      <c r="I73" s="29"/>
    </row>
    <row r="74" ht="22" customHeight="1" spans="1:12">
      <c r="A74" s="27" t="s">
        <v>84</v>
      </c>
      <c r="B74" s="27" t="s">
        <v>53</v>
      </c>
      <c r="C74" s="27" t="s">
        <v>80</v>
      </c>
      <c r="D74" s="27">
        <v>4212</v>
      </c>
      <c r="E74" s="27">
        <v>2</v>
      </c>
      <c r="F74" s="27">
        <v>2</v>
      </c>
      <c r="G74" s="27">
        <v>63.69</v>
      </c>
      <c r="H74" s="27">
        <v>127.38</v>
      </c>
      <c r="I74" s="29"/>
    </row>
    <row r="75" ht="22" customHeight="1" spans="1:12">
      <c r="A75" s="27" t="s">
        <v>85</v>
      </c>
      <c r="B75" s="27" t="s">
        <v>53</v>
      </c>
      <c r="C75" s="27" t="s">
        <v>80</v>
      </c>
      <c r="D75" s="27">
        <v>4212</v>
      </c>
      <c r="E75" s="27">
        <v>2</v>
      </c>
      <c r="F75" s="27">
        <v>2</v>
      </c>
      <c r="G75" s="27">
        <v>63.69</v>
      </c>
      <c r="H75" s="27">
        <v>127.38</v>
      </c>
      <c r="I75" s="30"/>
    </row>
    <row r="76" ht="22" customHeight="1" spans="1:12">
      <c r="A76" s="27"/>
      <c r="B76" s="27"/>
      <c r="C76" s="31"/>
      <c r="D76" s="27"/>
      <c r="E76" s="27"/>
      <c r="F76" s="27"/>
      <c r="G76" s="27"/>
      <c r="H76" s="31">
        <f>SUM(H71:H75)</f>
        <v>560.36</v>
      </c>
      <c r="I76" s="31"/>
    </row>
    <row r="77" ht="22" customHeight="1" spans="1:12">
      <c r="A77" s="27">
        <v>1604</v>
      </c>
      <c r="B77" s="27" t="s">
        <v>53</v>
      </c>
      <c r="C77" s="27" t="s">
        <v>86</v>
      </c>
      <c r="D77" s="27">
        <v>6687</v>
      </c>
      <c r="E77" s="27">
        <v>4</v>
      </c>
      <c r="F77" s="27">
        <v>4</v>
      </c>
      <c r="G77" s="27">
        <v>64.57</v>
      </c>
      <c r="H77" s="27">
        <v>258.28</v>
      </c>
      <c r="I77" s="28" t="s">
        <v>87</v>
      </c>
    </row>
    <row r="78" ht="22" customHeight="1" spans="1:12">
      <c r="A78" s="27">
        <v>1605</v>
      </c>
      <c r="B78" s="27" t="s">
        <v>53</v>
      </c>
      <c r="C78" s="27" t="s">
        <v>86</v>
      </c>
      <c r="D78" s="27">
        <v>6687</v>
      </c>
      <c r="E78" s="27">
        <v>4</v>
      </c>
      <c r="F78" s="27">
        <v>4</v>
      </c>
      <c r="G78" s="27">
        <v>64.57</v>
      </c>
      <c r="H78" s="27">
        <v>258.28</v>
      </c>
      <c r="I78" s="29"/>
    </row>
    <row r="79" ht="22" customHeight="1" spans="1:12">
      <c r="A79" s="27">
        <v>1028</v>
      </c>
      <c r="B79" s="27" t="s">
        <v>53</v>
      </c>
      <c r="C79" s="27" t="s">
        <v>86</v>
      </c>
      <c r="D79" s="27">
        <v>2297</v>
      </c>
      <c r="E79" s="27">
        <v>2</v>
      </c>
      <c r="F79" s="27">
        <v>4</v>
      </c>
      <c r="G79" s="27">
        <v>22.18</v>
      </c>
      <c r="H79" s="27">
        <v>88.72</v>
      </c>
      <c r="I79" s="29"/>
    </row>
    <row r="80" ht="22" customHeight="1" spans="1:12">
      <c r="A80" s="27">
        <v>1029</v>
      </c>
      <c r="B80" s="27" t="s">
        <v>53</v>
      </c>
      <c r="C80" s="27" t="s">
        <v>86</v>
      </c>
      <c r="D80" s="27">
        <v>2297</v>
      </c>
      <c r="E80" s="27">
        <v>2</v>
      </c>
      <c r="F80" s="27">
        <v>4</v>
      </c>
      <c r="G80" s="27">
        <v>22.18</v>
      </c>
      <c r="H80" s="27">
        <v>88.72</v>
      </c>
      <c r="I80" s="30"/>
    </row>
    <row r="81" ht="22" customHeight="1" spans="1:13">
      <c r="A81" s="27">
        <v>1506</v>
      </c>
      <c r="B81" s="27" t="s">
        <v>53</v>
      </c>
      <c r="C81" s="27" t="s">
        <v>86</v>
      </c>
      <c r="D81" s="27">
        <v>6251</v>
      </c>
      <c r="E81" s="27">
        <v>4</v>
      </c>
      <c r="F81" s="27">
        <v>4</v>
      </c>
      <c r="G81" s="27">
        <v>60.36</v>
      </c>
      <c r="H81" s="27">
        <v>241.44</v>
      </c>
      <c r="I81" s="28" t="s">
        <v>87</v>
      </c>
    </row>
    <row r="82" ht="22" customHeight="1" spans="1:13">
      <c r="A82" s="27">
        <v>1507</v>
      </c>
      <c r="B82" s="27" t="s">
        <v>53</v>
      </c>
      <c r="C82" s="27" t="s">
        <v>86</v>
      </c>
      <c r="D82" s="27">
        <v>6251</v>
      </c>
      <c r="E82" s="27">
        <v>2</v>
      </c>
      <c r="F82" s="27">
        <v>2</v>
      </c>
      <c r="G82" s="27">
        <v>60.36</v>
      </c>
      <c r="H82" s="27">
        <v>120.72</v>
      </c>
      <c r="I82" s="29"/>
    </row>
    <row r="83" ht="22" customHeight="1" spans="1:13">
      <c r="A83" s="27" t="s">
        <v>88</v>
      </c>
      <c r="B83" s="27" t="s">
        <v>53</v>
      </c>
      <c r="C83" s="27" t="s">
        <v>86</v>
      </c>
      <c r="D83" s="27">
        <v>6251</v>
      </c>
      <c r="E83" s="27">
        <v>2</v>
      </c>
      <c r="F83" s="27">
        <v>2</v>
      </c>
      <c r="G83" s="27">
        <v>60.36</v>
      </c>
      <c r="H83" s="27">
        <v>120.72</v>
      </c>
      <c r="I83" s="29"/>
    </row>
    <row r="84" ht="22" customHeight="1" spans="1:13">
      <c r="A84" s="27">
        <v>1132</v>
      </c>
      <c r="B84" s="27" t="s">
        <v>53</v>
      </c>
      <c r="C84" s="27" t="s">
        <v>86</v>
      </c>
      <c r="D84" s="27">
        <v>2458</v>
      </c>
      <c r="E84" s="27">
        <v>2</v>
      </c>
      <c r="F84" s="27">
        <v>4</v>
      </c>
      <c r="G84" s="27">
        <v>23.73</v>
      </c>
      <c r="H84" s="27">
        <v>94.92</v>
      </c>
      <c r="I84" s="29"/>
    </row>
    <row r="85" ht="22" customHeight="1" spans="1:13">
      <c r="A85" s="27">
        <v>1133</v>
      </c>
      <c r="B85" s="27" t="s">
        <v>53</v>
      </c>
      <c r="C85" s="27" t="s">
        <v>86</v>
      </c>
      <c r="D85" s="27">
        <v>2458</v>
      </c>
      <c r="E85" s="27">
        <v>2</v>
      </c>
      <c r="F85" s="27">
        <v>4</v>
      </c>
      <c r="G85" s="27">
        <v>23.73</v>
      </c>
      <c r="H85" s="27">
        <v>94.92</v>
      </c>
      <c r="I85" s="30"/>
    </row>
    <row r="86" ht="22" customHeight="1" spans="1:13">
      <c r="A86" s="27">
        <v>901</v>
      </c>
      <c r="B86" s="27" t="s">
        <v>53</v>
      </c>
      <c r="C86" s="27" t="s">
        <v>86</v>
      </c>
      <c r="D86" s="27">
        <v>3533</v>
      </c>
      <c r="E86" s="27">
        <v>2</v>
      </c>
      <c r="F86" s="27">
        <v>4</v>
      </c>
      <c r="G86" s="27">
        <v>34.12</v>
      </c>
      <c r="H86" s="27">
        <v>136.48</v>
      </c>
      <c r="I86" s="28" t="s">
        <v>28</v>
      </c>
    </row>
    <row r="87" ht="22" customHeight="1" spans="1:13">
      <c r="A87" s="27">
        <v>1129</v>
      </c>
      <c r="B87" s="27" t="s">
        <v>53</v>
      </c>
      <c r="C87" s="27" t="s">
        <v>86</v>
      </c>
      <c r="D87" s="27">
        <v>2894</v>
      </c>
      <c r="E87" s="27">
        <v>2</v>
      </c>
      <c r="F87" s="27">
        <v>4</v>
      </c>
      <c r="G87" s="27">
        <v>27.94</v>
      </c>
      <c r="H87" s="27">
        <v>111.76</v>
      </c>
      <c r="I87" s="29"/>
    </row>
    <row r="88" ht="22" customHeight="1" spans="1:13">
      <c r="A88" s="27">
        <v>2201</v>
      </c>
      <c r="B88" s="27" t="s">
        <v>53</v>
      </c>
      <c r="C88" s="27" t="s">
        <v>86</v>
      </c>
      <c r="D88" s="27">
        <v>2721</v>
      </c>
      <c r="E88" s="27">
        <v>2</v>
      </c>
      <c r="F88" s="27">
        <v>4</v>
      </c>
      <c r="G88" s="27">
        <v>26.27</v>
      </c>
      <c r="H88" s="27">
        <v>105.08</v>
      </c>
      <c r="I88" s="29"/>
    </row>
    <row r="89" ht="22" customHeight="1" spans="1:13">
      <c r="A89" s="27">
        <v>2202</v>
      </c>
      <c r="B89" s="27" t="s">
        <v>53</v>
      </c>
      <c r="C89" s="27" t="s">
        <v>86</v>
      </c>
      <c r="D89" s="27">
        <v>2721</v>
      </c>
      <c r="E89" s="27">
        <v>2</v>
      </c>
      <c r="F89" s="27">
        <v>4</v>
      </c>
      <c r="G89" s="27">
        <v>26.27</v>
      </c>
      <c r="H89" s="27">
        <v>105.08</v>
      </c>
      <c r="I89" s="30"/>
    </row>
    <row r="90" ht="22" customHeight="1" spans="1:13">
      <c r="A90" s="27">
        <v>1128</v>
      </c>
      <c r="B90" s="27" t="s">
        <v>53</v>
      </c>
      <c r="C90" s="27" t="s">
        <v>86</v>
      </c>
      <c r="D90" s="27">
        <v>2894</v>
      </c>
      <c r="E90" s="27">
        <v>2</v>
      </c>
      <c r="F90" s="27">
        <v>4</v>
      </c>
      <c r="G90" s="27">
        <v>27.94</v>
      </c>
      <c r="H90" s="27">
        <v>111.76</v>
      </c>
      <c r="I90" s="31" t="s">
        <v>89</v>
      </c>
    </row>
    <row r="91" ht="22" customHeight="1" spans="1:13">
      <c r="A91" s="27">
        <v>902</v>
      </c>
      <c r="B91" s="27" t="s">
        <v>53</v>
      </c>
      <c r="C91" s="27" t="s">
        <v>86</v>
      </c>
      <c r="D91" s="27">
        <v>3533</v>
      </c>
      <c r="E91" s="27">
        <v>2</v>
      </c>
      <c r="F91" s="27">
        <v>4</v>
      </c>
      <c r="G91" s="27">
        <v>34.12</v>
      </c>
      <c r="H91" s="27">
        <v>136.48</v>
      </c>
      <c r="I91" s="28" t="s">
        <v>28</v>
      </c>
      <c r="J91" s="5">
        <v>345</v>
      </c>
      <c r="K91" s="5" t="s">
        <v>90</v>
      </c>
      <c r="L91" s="8">
        <v>16</v>
      </c>
      <c r="M91" s="5" t="s">
        <v>46</v>
      </c>
    </row>
    <row r="92" ht="22" customHeight="1" spans="1:13">
      <c r="A92" s="27">
        <v>1504</v>
      </c>
      <c r="B92" s="27" t="s">
        <v>53</v>
      </c>
      <c r="C92" s="27" t="s">
        <v>86</v>
      </c>
      <c r="D92" s="27">
        <v>3463</v>
      </c>
      <c r="E92" s="27">
        <v>4</v>
      </c>
      <c r="F92" s="27">
        <v>4</v>
      </c>
      <c r="G92" s="27">
        <v>33.44</v>
      </c>
      <c r="H92" s="27">
        <v>133.76</v>
      </c>
      <c r="I92" s="29"/>
      <c r="J92" s="5">
        <v>345</v>
      </c>
      <c r="K92" s="5" t="s">
        <v>91</v>
      </c>
      <c r="L92" s="8">
        <v>9</v>
      </c>
    </row>
    <row r="93" ht="22" customHeight="1" spans="1:13">
      <c r="A93" s="27">
        <v>1505</v>
      </c>
      <c r="B93" s="27" t="s">
        <v>53</v>
      </c>
      <c r="C93" s="27" t="s">
        <v>86</v>
      </c>
      <c r="D93" s="27">
        <v>3463</v>
      </c>
      <c r="E93" s="27">
        <v>2</v>
      </c>
      <c r="F93" s="27">
        <v>2</v>
      </c>
      <c r="G93" s="27">
        <v>33.44</v>
      </c>
      <c r="H93" s="27">
        <v>66.88</v>
      </c>
      <c r="I93" s="29"/>
    </row>
    <row r="94" ht="22" customHeight="1" spans="1:13">
      <c r="A94" s="27" t="s">
        <v>92</v>
      </c>
      <c r="B94" s="27" t="s">
        <v>53</v>
      </c>
      <c r="C94" s="27" t="s">
        <v>86</v>
      </c>
      <c r="D94" s="27">
        <v>3463</v>
      </c>
      <c r="E94" s="27">
        <v>2</v>
      </c>
      <c r="F94" s="27">
        <v>2</v>
      </c>
      <c r="G94" s="27">
        <v>33.44</v>
      </c>
      <c r="H94" s="27">
        <v>66.88</v>
      </c>
      <c r="I94" s="29"/>
    </row>
    <row r="95" ht="22" customHeight="1" spans="1:13">
      <c r="A95" s="27">
        <v>1160</v>
      </c>
      <c r="B95" s="27" t="s">
        <v>53</v>
      </c>
      <c r="C95" s="27" t="s">
        <v>86</v>
      </c>
      <c r="D95" s="27">
        <v>519</v>
      </c>
      <c r="E95" s="27">
        <v>2</v>
      </c>
      <c r="F95" s="27">
        <v>4</v>
      </c>
      <c r="G95" s="27">
        <v>5.01</v>
      </c>
      <c r="H95" s="27">
        <v>20.04</v>
      </c>
      <c r="I95" s="29"/>
    </row>
    <row r="96" ht="22" customHeight="1" spans="1:13">
      <c r="A96" s="27">
        <v>1161</v>
      </c>
      <c r="B96" s="27" t="s">
        <v>53</v>
      </c>
      <c r="C96" s="27" t="s">
        <v>86</v>
      </c>
      <c r="D96" s="27">
        <v>519</v>
      </c>
      <c r="E96" s="27">
        <v>2</v>
      </c>
      <c r="F96" s="27">
        <v>4</v>
      </c>
      <c r="G96" s="27">
        <v>5.01</v>
      </c>
      <c r="H96" s="27">
        <v>20.04</v>
      </c>
      <c r="I96" s="30"/>
    </row>
    <row r="97" ht="22" customHeight="1" spans="1:13">
      <c r="A97" s="27"/>
      <c r="B97" s="27"/>
      <c r="C97" s="31"/>
      <c r="D97" s="27"/>
      <c r="E97" s="27"/>
      <c r="F97" s="27"/>
      <c r="G97" s="27"/>
      <c r="H97" s="31">
        <f>SUM(H77:H96)</f>
        <v>2380.96</v>
      </c>
      <c r="I97" s="31"/>
    </row>
    <row r="98" ht="22" customHeight="1" spans="1:13">
      <c r="A98" s="27">
        <v>1204</v>
      </c>
      <c r="B98" s="27" t="s">
        <v>53</v>
      </c>
      <c r="C98" s="27" t="s">
        <v>93</v>
      </c>
      <c r="D98" s="27">
        <v>5058</v>
      </c>
      <c r="E98" s="27">
        <v>4</v>
      </c>
      <c r="F98" s="27">
        <v>8</v>
      </c>
      <c r="G98" s="27">
        <v>43.12</v>
      </c>
      <c r="H98" s="27">
        <v>344.96</v>
      </c>
      <c r="I98" s="28" t="s">
        <v>94</v>
      </c>
    </row>
    <row r="99" ht="22" customHeight="1" spans="1:13">
      <c r="A99" s="27">
        <v>2103</v>
      </c>
      <c r="B99" s="27" t="s">
        <v>53</v>
      </c>
      <c r="C99" s="27" t="s">
        <v>93</v>
      </c>
      <c r="D99" s="27">
        <v>3142</v>
      </c>
      <c r="E99" s="27">
        <v>2</v>
      </c>
      <c r="F99" s="27">
        <v>4</v>
      </c>
      <c r="G99" s="27">
        <v>26.79</v>
      </c>
      <c r="H99" s="27">
        <v>107.16</v>
      </c>
      <c r="I99" s="29"/>
    </row>
    <row r="100" ht="22" customHeight="1" spans="1:13">
      <c r="A100" s="27">
        <v>2104</v>
      </c>
      <c r="B100" s="27" t="s">
        <v>53</v>
      </c>
      <c r="C100" s="27" t="s">
        <v>93</v>
      </c>
      <c r="D100" s="27">
        <v>3142</v>
      </c>
      <c r="E100" s="27">
        <v>2</v>
      </c>
      <c r="F100" s="27">
        <v>4</v>
      </c>
      <c r="G100" s="27">
        <v>26.79</v>
      </c>
      <c r="H100" s="27">
        <v>107.16</v>
      </c>
      <c r="I100" s="29"/>
    </row>
    <row r="101" ht="22" customHeight="1" spans="1:13">
      <c r="A101" s="27">
        <v>1307</v>
      </c>
      <c r="B101" s="27" t="s">
        <v>53</v>
      </c>
      <c r="C101" s="27" t="s">
        <v>93</v>
      </c>
      <c r="D101" s="27">
        <v>2620</v>
      </c>
      <c r="E101" s="27">
        <v>4</v>
      </c>
      <c r="F101" s="27">
        <v>4</v>
      </c>
      <c r="G101" s="27">
        <v>22.34</v>
      </c>
      <c r="H101" s="27">
        <v>89.36</v>
      </c>
      <c r="I101" s="29"/>
    </row>
    <row r="102" ht="22" customHeight="1" spans="1:13">
      <c r="A102" s="27">
        <v>1308</v>
      </c>
      <c r="B102" s="27" t="s">
        <v>53</v>
      </c>
      <c r="C102" s="27" t="s">
        <v>93</v>
      </c>
      <c r="D102" s="27">
        <v>2620</v>
      </c>
      <c r="E102" s="27">
        <v>4</v>
      </c>
      <c r="F102" s="27">
        <v>4</v>
      </c>
      <c r="G102" s="27">
        <v>22.34</v>
      </c>
      <c r="H102" s="27">
        <v>89.36</v>
      </c>
      <c r="I102" s="30"/>
    </row>
    <row r="103" ht="22" customHeight="1" spans="1:13">
      <c r="A103" s="27">
        <v>1205</v>
      </c>
      <c r="B103" s="27" t="s">
        <v>53</v>
      </c>
      <c r="C103" s="27" t="s">
        <v>93</v>
      </c>
      <c r="D103" s="27">
        <v>5058</v>
      </c>
      <c r="E103" s="27">
        <v>4</v>
      </c>
      <c r="F103" s="27">
        <v>8</v>
      </c>
      <c r="G103" s="27">
        <v>43.12</v>
      </c>
      <c r="H103" s="27">
        <v>344.96</v>
      </c>
      <c r="I103" s="28" t="s">
        <v>95</v>
      </c>
    </row>
    <row r="104" ht="22" customHeight="1" spans="1:13">
      <c r="A104" s="27">
        <v>1207</v>
      </c>
      <c r="B104" s="27" t="s">
        <v>53</v>
      </c>
      <c r="C104" s="27" t="s">
        <v>93</v>
      </c>
      <c r="D104" s="27">
        <v>4183</v>
      </c>
      <c r="E104" s="27">
        <v>4</v>
      </c>
      <c r="F104" s="27">
        <v>8</v>
      </c>
      <c r="G104" s="27">
        <v>35.66</v>
      </c>
      <c r="H104" s="27">
        <v>285.28</v>
      </c>
      <c r="I104" s="29"/>
      <c r="J104" s="5">
        <v>345</v>
      </c>
      <c r="K104" s="5" t="s">
        <v>96</v>
      </c>
      <c r="L104" s="8">
        <v>8</v>
      </c>
    </row>
    <row r="105" ht="22" customHeight="1" spans="1:13">
      <c r="A105" s="27">
        <v>1109</v>
      </c>
      <c r="B105" s="27" t="s">
        <v>53</v>
      </c>
      <c r="C105" s="27" t="s">
        <v>93</v>
      </c>
      <c r="D105" s="27">
        <v>2463</v>
      </c>
      <c r="E105" s="27">
        <v>2</v>
      </c>
      <c r="F105" s="27">
        <v>4</v>
      </c>
      <c r="G105" s="27">
        <v>21</v>
      </c>
      <c r="H105" s="27">
        <v>84</v>
      </c>
      <c r="I105" s="29"/>
      <c r="J105" s="5">
        <v>345</v>
      </c>
      <c r="K105" s="5" t="s">
        <v>97</v>
      </c>
      <c r="L105" s="8">
        <v>8</v>
      </c>
      <c r="M105" s="5" t="s">
        <v>46</v>
      </c>
    </row>
    <row r="106" ht="22" customHeight="1" spans="1:13">
      <c r="A106" s="27">
        <v>1110</v>
      </c>
      <c r="B106" s="27" t="s">
        <v>53</v>
      </c>
      <c r="C106" s="27" t="s">
        <v>93</v>
      </c>
      <c r="D106" s="27">
        <v>2463</v>
      </c>
      <c r="E106" s="27">
        <v>2</v>
      </c>
      <c r="F106" s="27">
        <v>4</v>
      </c>
      <c r="G106" s="27">
        <v>21</v>
      </c>
      <c r="H106" s="27">
        <v>84</v>
      </c>
      <c r="I106" s="30"/>
      <c r="J106" s="5">
        <v>345</v>
      </c>
      <c r="K106" s="5" t="s">
        <v>98</v>
      </c>
      <c r="L106" s="8">
        <v>8</v>
      </c>
      <c r="M106" s="5" t="s">
        <v>46</v>
      </c>
    </row>
    <row r="107" ht="22" customHeight="1" spans="1:13">
      <c r="A107" s="27" t="s">
        <v>99</v>
      </c>
      <c r="B107" s="27" t="s">
        <v>53</v>
      </c>
      <c r="C107" s="27" t="s">
        <v>93</v>
      </c>
      <c r="D107" s="27">
        <v>4190</v>
      </c>
      <c r="E107" s="27">
        <v>2</v>
      </c>
      <c r="F107" s="27">
        <v>2</v>
      </c>
      <c r="G107" s="27">
        <v>35.72</v>
      </c>
      <c r="H107" s="27">
        <v>71.44</v>
      </c>
      <c r="I107" s="28" t="s">
        <v>87</v>
      </c>
    </row>
    <row r="108" ht="22" customHeight="1" spans="1:13">
      <c r="A108" s="27" t="s">
        <v>100</v>
      </c>
      <c r="B108" s="27" t="s">
        <v>53</v>
      </c>
      <c r="C108" s="27" t="s">
        <v>93</v>
      </c>
      <c r="D108" s="27">
        <v>4190</v>
      </c>
      <c r="E108" s="27">
        <v>2</v>
      </c>
      <c r="F108" s="27">
        <v>2</v>
      </c>
      <c r="G108" s="27">
        <v>35.72</v>
      </c>
      <c r="H108" s="27">
        <v>71.44</v>
      </c>
      <c r="I108" s="29"/>
    </row>
    <row r="109" ht="22" customHeight="1" spans="1:13">
      <c r="A109" s="27">
        <v>1206</v>
      </c>
      <c r="B109" s="27" t="s">
        <v>53</v>
      </c>
      <c r="C109" s="27" t="s">
        <v>93</v>
      </c>
      <c r="D109" s="27">
        <v>4183</v>
      </c>
      <c r="E109" s="27">
        <v>4</v>
      </c>
      <c r="F109" s="27">
        <v>8</v>
      </c>
      <c r="G109" s="27">
        <v>35.66</v>
      </c>
      <c r="H109" s="27">
        <v>285.28</v>
      </c>
      <c r="I109" s="29"/>
    </row>
    <row r="110" ht="22" customHeight="1" spans="1:13">
      <c r="A110" s="27">
        <v>1011</v>
      </c>
      <c r="B110" s="27" t="s">
        <v>53</v>
      </c>
      <c r="C110" s="27" t="s">
        <v>93</v>
      </c>
      <c r="D110" s="27">
        <v>2005</v>
      </c>
      <c r="E110" s="27">
        <v>2</v>
      </c>
      <c r="F110" s="27">
        <v>4</v>
      </c>
      <c r="G110" s="27">
        <v>17.09</v>
      </c>
      <c r="H110" s="27">
        <v>68.36</v>
      </c>
      <c r="I110" s="29"/>
    </row>
    <row r="111" ht="22" customHeight="1" spans="1:13">
      <c r="A111" s="27">
        <v>1012</v>
      </c>
      <c r="B111" s="27" t="s">
        <v>53</v>
      </c>
      <c r="C111" s="27" t="s">
        <v>93</v>
      </c>
      <c r="D111" s="27">
        <v>2005</v>
      </c>
      <c r="E111" s="27">
        <v>2</v>
      </c>
      <c r="F111" s="27">
        <v>4</v>
      </c>
      <c r="G111" s="27">
        <v>17.09</v>
      </c>
      <c r="H111" s="27">
        <v>68.36</v>
      </c>
      <c r="I111" s="30"/>
    </row>
    <row r="112" ht="22" customHeight="1" spans="1:13">
      <c r="A112" s="27"/>
      <c r="B112" s="27"/>
      <c r="C112" s="31"/>
      <c r="D112" s="27"/>
      <c r="E112" s="27"/>
      <c r="F112" s="27"/>
      <c r="G112" s="27"/>
      <c r="H112" s="31">
        <f>SUM(H98:H111)</f>
        <v>2101.12</v>
      </c>
      <c r="I112" s="31"/>
    </row>
    <row r="113" ht="22" customHeight="1" spans="1:12">
      <c r="A113" s="27">
        <v>2003</v>
      </c>
      <c r="B113" s="27" t="s">
        <v>53</v>
      </c>
      <c r="C113" s="27" t="s">
        <v>101</v>
      </c>
      <c r="D113" s="27">
        <v>2711</v>
      </c>
      <c r="E113" s="27">
        <v>2</v>
      </c>
      <c r="F113" s="27">
        <v>4</v>
      </c>
      <c r="G113" s="27">
        <v>20</v>
      </c>
      <c r="H113" s="27">
        <v>80</v>
      </c>
      <c r="I113" s="28" t="s">
        <v>81</v>
      </c>
    </row>
    <row r="114" ht="22" customHeight="1" spans="1:12">
      <c r="A114" s="27">
        <v>2004</v>
      </c>
      <c r="B114" s="27" t="s">
        <v>53</v>
      </c>
      <c r="C114" s="27" t="s">
        <v>101</v>
      </c>
      <c r="D114" s="27">
        <v>2711</v>
      </c>
      <c r="E114" s="27">
        <v>2</v>
      </c>
      <c r="F114" s="27">
        <v>4</v>
      </c>
      <c r="G114" s="27">
        <v>20</v>
      </c>
      <c r="H114" s="27">
        <v>80</v>
      </c>
      <c r="I114" s="29"/>
    </row>
    <row r="115" ht="22" customHeight="1" spans="1:12">
      <c r="A115" s="27">
        <v>1131</v>
      </c>
      <c r="B115" s="27" t="s">
        <v>53</v>
      </c>
      <c r="C115" s="27" t="s">
        <v>101</v>
      </c>
      <c r="D115" s="27">
        <v>2184</v>
      </c>
      <c r="E115" s="27">
        <v>4</v>
      </c>
      <c r="F115" s="27">
        <v>8</v>
      </c>
      <c r="G115" s="27">
        <v>16.11</v>
      </c>
      <c r="H115" s="27">
        <v>128.88</v>
      </c>
      <c r="I115" s="30"/>
    </row>
    <row r="116" ht="22" customHeight="1" spans="1:12">
      <c r="A116" s="27">
        <v>2203</v>
      </c>
      <c r="B116" s="27" t="s">
        <v>53</v>
      </c>
      <c r="C116" s="27" t="s">
        <v>101</v>
      </c>
      <c r="D116" s="27">
        <v>2545</v>
      </c>
      <c r="E116" s="27">
        <v>2</v>
      </c>
      <c r="F116" s="27">
        <v>4</v>
      </c>
      <c r="G116" s="27">
        <v>18.77</v>
      </c>
      <c r="H116" s="27">
        <v>75.08</v>
      </c>
      <c r="I116" s="28" t="s">
        <v>81</v>
      </c>
    </row>
    <row r="117" ht="22" customHeight="1" spans="1:12">
      <c r="A117" s="27">
        <v>2204</v>
      </c>
      <c r="B117" s="27" t="s">
        <v>53</v>
      </c>
      <c r="C117" s="27" t="s">
        <v>101</v>
      </c>
      <c r="D117" s="27">
        <v>2545</v>
      </c>
      <c r="E117" s="27">
        <v>2</v>
      </c>
      <c r="F117" s="27">
        <v>4</v>
      </c>
      <c r="G117" s="27">
        <v>18.77</v>
      </c>
      <c r="H117" s="27">
        <v>75.08</v>
      </c>
      <c r="I117" s="29"/>
    </row>
    <row r="118" ht="22" customHeight="1" spans="1:12">
      <c r="A118" s="27">
        <v>1210</v>
      </c>
      <c r="B118" s="27" t="s">
        <v>53</v>
      </c>
      <c r="C118" s="27" t="s">
        <v>101</v>
      </c>
      <c r="D118" s="27">
        <v>2343</v>
      </c>
      <c r="E118" s="27">
        <v>4</v>
      </c>
      <c r="F118" s="27">
        <v>8</v>
      </c>
      <c r="G118" s="27">
        <v>17.28</v>
      </c>
      <c r="H118" s="27">
        <v>138.24</v>
      </c>
      <c r="I118" s="30"/>
      <c r="J118" s="5">
        <v>345</v>
      </c>
      <c r="K118" s="5" t="s">
        <v>102</v>
      </c>
      <c r="L118" s="8">
        <v>10</v>
      </c>
    </row>
    <row r="119" ht="22" customHeight="1" spans="1:12">
      <c r="A119" s="27">
        <v>1107</v>
      </c>
      <c r="B119" s="27" t="s">
        <v>53</v>
      </c>
      <c r="C119" s="27" t="s">
        <v>101</v>
      </c>
      <c r="D119" s="27">
        <v>2149</v>
      </c>
      <c r="E119" s="27">
        <v>2</v>
      </c>
      <c r="F119" s="27">
        <v>4</v>
      </c>
      <c r="G119" s="27">
        <v>15.85</v>
      </c>
      <c r="H119" s="27">
        <v>63.4</v>
      </c>
      <c r="I119" s="28" t="s">
        <v>32</v>
      </c>
    </row>
    <row r="120" ht="22" customHeight="1" spans="1:12">
      <c r="A120" s="27" t="s">
        <v>103</v>
      </c>
      <c r="B120" s="27" t="s">
        <v>53</v>
      </c>
      <c r="C120" s="27" t="s">
        <v>101</v>
      </c>
      <c r="D120" s="27">
        <v>2149</v>
      </c>
      <c r="E120" s="27">
        <v>2</v>
      </c>
      <c r="F120" s="27">
        <v>4</v>
      </c>
      <c r="G120" s="27">
        <v>15.85</v>
      </c>
      <c r="H120" s="27">
        <v>63.4</v>
      </c>
      <c r="I120" s="29"/>
    </row>
    <row r="121" ht="22" customHeight="1" spans="1:12">
      <c r="A121" s="27" t="s">
        <v>104</v>
      </c>
      <c r="B121" s="27" t="s">
        <v>53</v>
      </c>
      <c r="C121" s="27" t="s">
        <v>101</v>
      </c>
      <c r="D121" s="27">
        <v>479</v>
      </c>
      <c r="E121" s="27">
        <v>1</v>
      </c>
      <c r="F121" s="27">
        <v>1</v>
      </c>
      <c r="G121" s="27">
        <v>3.53</v>
      </c>
      <c r="H121" s="27">
        <v>3.53</v>
      </c>
      <c r="I121" s="29"/>
    </row>
    <row r="122" ht="22" customHeight="1" spans="1:12">
      <c r="A122" s="27" t="s">
        <v>105</v>
      </c>
      <c r="B122" s="27" t="s">
        <v>53</v>
      </c>
      <c r="C122" s="27" t="s">
        <v>101</v>
      </c>
      <c r="D122" s="27">
        <v>479</v>
      </c>
      <c r="E122" s="27">
        <v>1</v>
      </c>
      <c r="F122" s="27">
        <v>1</v>
      </c>
      <c r="G122" s="27">
        <v>3.53</v>
      </c>
      <c r="H122" s="27">
        <v>3.53</v>
      </c>
      <c r="I122" s="29"/>
    </row>
    <row r="123" ht="22" customHeight="1" spans="1:12">
      <c r="A123" s="27" t="s">
        <v>106</v>
      </c>
      <c r="B123" s="27" t="s">
        <v>53</v>
      </c>
      <c r="C123" s="27" t="s">
        <v>101</v>
      </c>
      <c r="D123" s="27">
        <v>358</v>
      </c>
      <c r="E123" s="27">
        <v>1</v>
      </c>
      <c r="F123" s="27">
        <v>1</v>
      </c>
      <c r="G123" s="27">
        <v>2.64</v>
      </c>
      <c r="H123" s="27">
        <v>2.64</v>
      </c>
      <c r="I123" s="29"/>
    </row>
    <row r="124" ht="22" customHeight="1" spans="1:12">
      <c r="A124" s="27" t="s">
        <v>107</v>
      </c>
      <c r="B124" s="27" t="s">
        <v>53</v>
      </c>
      <c r="C124" s="27" t="s">
        <v>101</v>
      </c>
      <c r="D124" s="27">
        <v>358</v>
      </c>
      <c r="E124" s="27">
        <v>1</v>
      </c>
      <c r="F124" s="27">
        <v>1</v>
      </c>
      <c r="G124" s="27">
        <v>2.64</v>
      </c>
      <c r="H124" s="27">
        <v>2.64</v>
      </c>
      <c r="I124" s="30"/>
    </row>
    <row r="125" ht="22" customHeight="1" spans="1:12">
      <c r="A125" s="27"/>
      <c r="B125" s="27"/>
      <c r="C125" s="31"/>
      <c r="D125" s="27"/>
      <c r="E125" s="27"/>
      <c r="F125" s="27"/>
      <c r="G125" s="27"/>
      <c r="H125" s="31">
        <f>SUM(H113:H124)</f>
        <v>716.42</v>
      </c>
      <c r="I125" s="31"/>
    </row>
    <row r="126" ht="22" customHeight="1" spans="1:12">
      <c r="A126" s="27" t="s">
        <v>108</v>
      </c>
      <c r="B126" s="27" t="s">
        <v>53</v>
      </c>
      <c r="C126" s="27" t="s">
        <v>109</v>
      </c>
      <c r="D126" s="27">
        <v>2772</v>
      </c>
      <c r="E126" s="27">
        <v>1</v>
      </c>
      <c r="F126" s="27">
        <v>1</v>
      </c>
      <c r="G126" s="27">
        <v>19.14</v>
      </c>
      <c r="H126" s="27">
        <v>19.14</v>
      </c>
      <c r="I126" s="28" t="s">
        <v>21</v>
      </c>
    </row>
    <row r="127" ht="22" customHeight="1" spans="1:12">
      <c r="A127" s="27" t="s">
        <v>110</v>
      </c>
      <c r="B127" s="27" t="s">
        <v>53</v>
      </c>
      <c r="C127" s="27" t="s">
        <v>109</v>
      </c>
      <c r="D127" s="27">
        <v>2772</v>
      </c>
      <c r="E127" s="27">
        <v>1</v>
      </c>
      <c r="F127" s="27">
        <v>1</v>
      </c>
      <c r="G127" s="27">
        <v>19.14</v>
      </c>
      <c r="H127" s="27">
        <v>19.14</v>
      </c>
      <c r="I127" s="29"/>
    </row>
    <row r="128" ht="22" customHeight="1" spans="1:12">
      <c r="A128" s="27" t="s">
        <v>111</v>
      </c>
      <c r="B128" s="27" t="s">
        <v>53</v>
      </c>
      <c r="C128" s="27" t="s">
        <v>109</v>
      </c>
      <c r="D128" s="27">
        <v>2676</v>
      </c>
      <c r="E128" s="27">
        <v>2</v>
      </c>
      <c r="F128" s="27">
        <v>2</v>
      </c>
      <c r="G128" s="27">
        <v>18.48</v>
      </c>
      <c r="H128" s="27">
        <v>36.96</v>
      </c>
      <c r="I128" s="29"/>
    </row>
    <row r="129" ht="22" customHeight="1" spans="1:13">
      <c r="A129" s="27" t="s">
        <v>112</v>
      </c>
      <c r="B129" s="27" t="s">
        <v>53</v>
      </c>
      <c r="C129" s="27" t="s">
        <v>109</v>
      </c>
      <c r="D129" s="27">
        <v>2369</v>
      </c>
      <c r="E129" s="27">
        <v>2</v>
      </c>
      <c r="F129" s="27">
        <v>2</v>
      </c>
      <c r="G129" s="27">
        <v>16.36</v>
      </c>
      <c r="H129" s="27">
        <v>32.72</v>
      </c>
      <c r="I129" s="30"/>
    </row>
    <row r="130" ht="22" customHeight="1" spans="1:13">
      <c r="A130" s="27">
        <v>1901</v>
      </c>
      <c r="B130" s="27" t="s">
        <v>53</v>
      </c>
      <c r="C130" s="27" t="s">
        <v>109</v>
      </c>
      <c r="D130" s="27">
        <v>2389</v>
      </c>
      <c r="E130" s="27">
        <v>2</v>
      </c>
      <c r="F130" s="27">
        <v>4</v>
      </c>
      <c r="G130" s="27">
        <v>16.5</v>
      </c>
      <c r="H130" s="27">
        <v>66</v>
      </c>
      <c r="I130" s="28" t="s">
        <v>19</v>
      </c>
      <c r="J130" s="5">
        <v>345</v>
      </c>
      <c r="K130" s="5" t="s">
        <v>113</v>
      </c>
      <c r="L130" s="8">
        <v>2</v>
      </c>
      <c r="M130" s="5" t="s">
        <v>46</v>
      </c>
    </row>
    <row r="131" ht="22" customHeight="1" spans="1:13">
      <c r="A131" s="27">
        <v>1902</v>
      </c>
      <c r="B131" s="27" t="s">
        <v>53</v>
      </c>
      <c r="C131" s="27" t="s">
        <v>109</v>
      </c>
      <c r="D131" s="27">
        <v>2389</v>
      </c>
      <c r="E131" s="27">
        <v>2</v>
      </c>
      <c r="F131" s="27">
        <v>4</v>
      </c>
      <c r="G131" s="27">
        <v>16.5</v>
      </c>
      <c r="H131" s="27">
        <v>66</v>
      </c>
      <c r="I131" s="29"/>
      <c r="J131" s="5">
        <v>345</v>
      </c>
      <c r="K131" s="5" t="s">
        <v>114</v>
      </c>
      <c r="L131" s="8">
        <v>5</v>
      </c>
      <c r="M131" s="5" t="s">
        <v>115</v>
      </c>
    </row>
    <row r="132" ht="22" customHeight="1" spans="1:13">
      <c r="A132" s="27">
        <v>1106</v>
      </c>
      <c r="B132" s="27" t="s">
        <v>53</v>
      </c>
      <c r="C132" s="27" t="s">
        <v>109</v>
      </c>
      <c r="D132" s="27">
        <v>2136</v>
      </c>
      <c r="E132" s="27">
        <v>2</v>
      </c>
      <c r="F132" s="27">
        <v>4</v>
      </c>
      <c r="G132" s="27">
        <v>14.75</v>
      </c>
      <c r="H132" s="27">
        <v>59</v>
      </c>
      <c r="I132" s="29"/>
    </row>
    <row r="133" ht="22" customHeight="1" spans="1:13">
      <c r="A133" s="27">
        <v>1035</v>
      </c>
      <c r="B133" s="27" t="s">
        <v>53</v>
      </c>
      <c r="C133" s="27" t="s">
        <v>109</v>
      </c>
      <c r="D133" s="27">
        <v>1985</v>
      </c>
      <c r="E133" s="27">
        <v>2</v>
      </c>
      <c r="F133" s="27">
        <v>4</v>
      </c>
      <c r="G133" s="27">
        <v>13.71</v>
      </c>
      <c r="H133" s="27">
        <v>54.84</v>
      </c>
      <c r="I133" s="29"/>
    </row>
    <row r="134" ht="22" customHeight="1" spans="1:13">
      <c r="A134" s="27">
        <v>1036</v>
      </c>
      <c r="B134" s="27" t="s">
        <v>53</v>
      </c>
      <c r="C134" s="27" t="s">
        <v>109</v>
      </c>
      <c r="D134" s="27">
        <v>1985</v>
      </c>
      <c r="E134" s="27">
        <v>2</v>
      </c>
      <c r="F134" s="27">
        <v>4</v>
      </c>
      <c r="G134" s="27">
        <v>13.71</v>
      </c>
      <c r="H134" s="27">
        <v>54.84</v>
      </c>
      <c r="I134" s="30"/>
    </row>
    <row r="135" ht="22" customHeight="1" spans="1:13">
      <c r="A135" s="27" t="s">
        <v>116</v>
      </c>
      <c r="B135" s="27" t="s">
        <v>53</v>
      </c>
      <c r="C135" s="27" t="s">
        <v>109</v>
      </c>
      <c r="D135" s="27">
        <v>2676</v>
      </c>
      <c r="E135" s="27">
        <v>2</v>
      </c>
      <c r="F135" s="27">
        <v>2</v>
      </c>
      <c r="G135" s="27">
        <v>18.48</v>
      </c>
      <c r="H135" s="27">
        <v>36.96</v>
      </c>
      <c r="I135" s="28" t="s">
        <v>117</v>
      </c>
    </row>
    <row r="136" ht="22" customHeight="1" spans="1:13">
      <c r="A136" s="27" t="s">
        <v>118</v>
      </c>
      <c r="B136" s="27" t="s">
        <v>53</v>
      </c>
      <c r="C136" s="27" t="s">
        <v>109</v>
      </c>
      <c r="D136" s="27">
        <v>2369</v>
      </c>
      <c r="E136" s="27">
        <v>2</v>
      </c>
      <c r="F136" s="27">
        <v>2</v>
      </c>
      <c r="G136" s="27">
        <v>16.36</v>
      </c>
      <c r="H136" s="27">
        <v>32.72</v>
      </c>
      <c r="I136" s="30"/>
    </row>
    <row r="137" ht="22" customHeight="1" spans="1:13">
      <c r="A137" s="27"/>
      <c r="B137" s="27"/>
      <c r="C137" s="31"/>
      <c r="D137" s="27"/>
      <c r="E137" s="27"/>
      <c r="F137" s="27"/>
      <c r="G137" s="27"/>
      <c r="H137" s="31">
        <f>SUM(H126:H136)</f>
        <v>478.32</v>
      </c>
      <c r="I137" s="31"/>
    </row>
    <row r="138" ht="22" customHeight="1" spans="1:13">
      <c r="A138" s="27">
        <v>1903</v>
      </c>
      <c r="B138" s="27" t="s">
        <v>53</v>
      </c>
      <c r="C138" s="27" t="s">
        <v>119</v>
      </c>
      <c r="D138" s="27">
        <v>2180</v>
      </c>
      <c r="E138" s="27">
        <v>2</v>
      </c>
      <c r="F138" s="27">
        <v>4</v>
      </c>
      <c r="G138" s="27">
        <v>12.68</v>
      </c>
      <c r="H138" s="27">
        <v>50.72</v>
      </c>
      <c r="I138" s="28" t="s">
        <v>69</v>
      </c>
    </row>
    <row r="139" ht="22" customHeight="1" spans="1:13">
      <c r="A139" s="27">
        <v>1904</v>
      </c>
      <c r="B139" s="27" t="s">
        <v>53</v>
      </c>
      <c r="C139" s="27" t="s">
        <v>119</v>
      </c>
      <c r="D139" s="27">
        <v>2180</v>
      </c>
      <c r="E139" s="27">
        <v>2</v>
      </c>
      <c r="F139" s="27">
        <v>4</v>
      </c>
      <c r="G139" s="27">
        <v>12.68</v>
      </c>
      <c r="H139" s="27">
        <v>50.72</v>
      </c>
      <c r="I139" s="29"/>
    </row>
    <row r="140" ht="22" customHeight="1" spans="1:13">
      <c r="A140" s="27">
        <v>1130</v>
      </c>
      <c r="B140" s="27" t="s">
        <v>53</v>
      </c>
      <c r="C140" s="27" t="s">
        <v>119</v>
      </c>
      <c r="D140" s="27">
        <v>2136</v>
      </c>
      <c r="E140" s="27">
        <v>2</v>
      </c>
      <c r="F140" s="27">
        <v>4</v>
      </c>
      <c r="G140" s="27">
        <v>12.43</v>
      </c>
      <c r="H140" s="27">
        <v>49.72</v>
      </c>
      <c r="I140" s="29"/>
    </row>
    <row r="141" ht="22" customHeight="1" spans="1:13">
      <c r="A141" s="27">
        <v>1148</v>
      </c>
      <c r="B141" s="27" t="s">
        <v>53</v>
      </c>
      <c r="C141" s="27" t="s">
        <v>119</v>
      </c>
      <c r="D141" s="27">
        <v>165</v>
      </c>
      <c r="E141" s="27">
        <v>2</v>
      </c>
      <c r="F141" s="27">
        <v>4</v>
      </c>
      <c r="G141" s="27">
        <v>0.96</v>
      </c>
      <c r="H141" s="27">
        <v>3.84</v>
      </c>
      <c r="I141" s="29"/>
    </row>
    <row r="142" ht="22" customHeight="1" spans="1:13">
      <c r="A142" s="27">
        <v>1149</v>
      </c>
      <c r="B142" s="27" t="s">
        <v>53</v>
      </c>
      <c r="C142" s="27" t="s">
        <v>119</v>
      </c>
      <c r="D142" s="27">
        <v>165</v>
      </c>
      <c r="E142" s="27">
        <v>2</v>
      </c>
      <c r="F142" s="27">
        <v>4</v>
      </c>
      <c r="G142" s="27">
        <v>0.96</v>
      </c>
      <c r="H142" s="27">
        <v>3.84</v>
      </c>
      <c r="I142" s="30"/>
      <c r="J142" s="5">
        <v>345</v>
      </c>
      <c r="K142" s="5" t="s">
        <v>120</v>
      </c>
      <c r="L142" s="8">
        <v>4</v>
      </c>
    </row>
    <row r="143" ht="22" customHeight="1" spans="1:13">
      <c r="A143" s="27">
        <v>1007</v>
      </c>
      <c r="B143" s="27" t="s">
        <v>53</v>
      </c>
      <c r="C143" s="27" t="s">
        <v>119</v>
      </c>
      <c r="D143" s="27">
        <v>1849</v>
      </c>
      <c r="E143" s="27">
        <v>4</v>
      </c>
      <c r="F143" s="27">
        <v>8</v>
      </c>
      <c r="G143" s="27">
        <v>10.76</v>
      </c>
      <c r="H143" s="27">
        <v>86.08</v>
      </c>
      <c r="I143" s="31" t="s">
        <v>21</v>
      </c>
      <c r="J143" s="5">
        <v>345</v>
      </c>
      <c r="K143" s="5" t="s">
        <v>121</v>
      </c>
      <c r="L143" s="8">
        <v>2</v>
      </c>
    </row>
    <row r="144" ht="22" customHeight="1" spans="1:13">
      <c r="A144" s="27"/>
      <c r="B144" s="27"/>
      <c r="C144" s="31"/>
      <c r="D144" s="27"/>
      <c r="E144" s="27"/>
      <c r="F144" s="27"/>
      <c r="G144" s="27"/>
      <c r="H144" s="31">
        <f>SUM(H138:H143)</f>
        <v>244.92</v>
      </c>
      <c r="I144" s="31"/>
    </row>
    <row r="145" ht="22" customHeight="1" spans="1:13">
      <c r="A145" s="27">
        <v>1009</v>
      </c>
      <c r="B145" s="27" t="s">
        <v>53</v>
      </c>
      <c r="C145" s="27" t="s">
        <v>122</v>
      </c>
      <c r="D145" s="27">
        <v>2130</v>
      </c>
      <c r="E145" s="27">
        <v>2</v>
      </c>
      <c r="F145" s="27">
        <v>4</v>
      </c>
      <c r="G145" s="27">
        <v>13.65</v>
      </c>
      <c r="H145" s="27">
        <v>54.6</v>
      </c>
      <c r="I145" s="28" t="s">
        <v>123</v>
      </c>
      <c r="J145" s="5">
        <v>345</v>
      </c>
      <c r="K145" s="5" t="s">
        <v>124</v>
      </c>
      <c r="L145" s="8">
        <v>3</v>
      </c>
      <c r="M145" s="5" t="s">
        <v>46</v>
      </c>
    </row>
    <row r="146" ht="22" customHeight="1" spans="1:13">
      <c r="A146" s="27">
        <v>1010</v>
      </c>
      <c r="B146" s="27" t="s">
        <v>53</v>
      </c>
      <c r="C146" s="27" t="s">
        <v>122</v>
      </c>
      <c r="D146" s="27">
        <v>2130</v>
      </c>
      <c r="E146" s="27">
        <v>2</v>
      </c>
      <c r="F146" s="27">
        <v>4</v>
      </c>
      <c r="G146" s="27">
        <v>13.65</v>
      </c>
      <c r="H146" s="27">
        <v>54.6</v>
      </c>
      <c r="I146" s="29"/>
    </row>
    <row r="147" ht="22" customHeight="1" spans="1:13">
      <c r="A147" s="27">
        <v>1033</v>
      </c>
      <c r="B147" s="27" t="s">
        <v>53</v>
      </c>
      <c r="C147" s="27" t="s">
        <v>122</v>
      </c>
      <c r="D147" s="27">
        <v>2130</v>
      </c>
      <c r="E147" s="27">
        <v>2</v>
      </c>
      <c r="F147" s="27">
        <v>4</v>
      </c>
      <c r="G147" s="27">
        <v>13.65</v>
      </c>
      <c r="H147" s="27">
        <v>54.6</v>
      </c>
      <c r="I147" s="29"/>
    </row>
    <row r="148" ht="22" customHeight="1" spans="1:13">
      <c r="A148" s="27">
        <v>1034</v>
      </c>
      <c r="B148" s="27" t="s">
        <v>53</v>
      </c>
      <c r="C148" s="27" t="s">
        <v>122</v>
      </c>
      <c r="D148" s="27">
        <v>2130</v>
      </c>
      <c r="E148" s="27">
        <v>2</v>
      </c>
      <c r="F148" s="27">
        <v>4</v>
      </c>
      <c r="G148" s="27">
        <v>13.65</v>
      </c>
      <c r="H148" s="27">
        <v>54.6</v>
      </c>
      <c r="I148" s="30"/>
    </row>
    <row r="149" ht="22" customHeight="1" spans="1:13">
      <c r="A149" s="27"/>
      <c r="B149" s="27"/>
      <c r="C149" s="31"/>
      <c r="D149" s="27"/>
      <c r="E149" s="27"/>
      <c r="F149" s="27"/>
      <c r="G149" s="27"/>
      <c r="H149" s="31">
        <f>SUM(H145:H148)</f>
        <v>218.4</v>
      </c>
      <c r="I149" s="31"/>
    </row>
    <row r="150" ht="22" customHeight="1" spans="1:13">
      <c r="A150" s="27">
        <v>1606</v>
      </c>
      <c r="B150" s="27" t="s">
        <v>53</v>
      </c>
      <c r="C150" s="27" t="s">
        <v>125</v>
      </c>
      <c r="D150" s="27">
        <v>5684</v>
      </c>
      <c r="E150" s="27">
        <v>4</v>
      </c>
      <c r="F150" s="27">
        <v>4</v>
      </c>
      <c r="G150" s="27">
        <v>30.68</v>
      </c>
      <c r="H150" s="27">
        <v>122.72</v>
      </c>
      <c r="I150" s="28" t="s">
        <v>54</v>
      </c>
    </row>
    <row r="151" ht="22" customHeight="1" spans="1:13">
      <c r="A151" s="27" t="s">
        <v>126</v>
      </c>
      <c r="B151" s="27" t="s">
        <v>53</v>
      </c>
      <c r="C151" s="27" t="s">
        <v>125</v>
      </c>
      <c r="D151" s="27">
        <v>420</v>
      </c>
      <c r="E151" s="27">
        <v>1</v>
      </c>
      <c r="F151" s="27">
        <v>1</v>
      </c>
      <c r="G151" s="27">
        <v>2.27</v>
      </c>
      <c r="H151" s="27">
        <v>2.27</v>
      </c>
      <c r="I151" s="29"/>
    </row>
    <row r="152" ht="22" customHeight="1" spans="1:13">
      <c r="A152" s="27" t="s">
        <v>127</v>
      </c>
      <c r="B152" s="27" t="s">
        <v>53</v>
      </c>
      <c r="C152" s="27" t="s">
        <v>125</v>
      </c>
      <c r="D152" s="27">
        <v>420</v>
      </c>
      <c r="E152" s="27">
        <v>1</v>
      </c>
      <c r="F152" s="27">
        <v>1</v>
      </c>
      <c r="G152" s="27">
        <v>2.27</v>
      </c>
      <c r="H152" s="27">
        <v>2.27</v>
      </c>
      <c r="I152" s="30"/>
    </row>
    <row r="153" ht="22" customHeight="1" spans="1:13">
      <c r="A153" s="27">
        <v>1306</v>
      </c>
      <c r="B153" s="27" t="s">
        <v>53</v>
      </c>
      <c r="C153" s="27" t="s">
        <v>125</v>
      </c>
      <c r="D153" s="27">
        <v>4514</v>
      </c>
      <c r="E153" s="27">
        <v>4</v>
      </c>
      <c r="F153" s="27">
        <v>4</v>
      </c>
      <c r="G153" s="27">
        <v>24.36</v>
      </c>
      <c r="H153" s="27">
        <v>97.44</v>
      </c>
      <c r="I153" s="28" t="s">
        <v>28</v>
      </c>
    </row>
    <row r="154" ht="22" customHeight="1" spans="1:13">
      <c r="A154" s="27">
        <v>1031</v>
      </c>
      <c r="B154" s="27" t="s">
        <v>53</v>
      </c>
      <c r="C154" s="27" t="s">
        <v>125</v>
      </c>
      <c r="D154" s="27">
        <v>1909</v>
      </c>
      <c r="E154" s="27">
        <v>4</v>
      </c>
      <c r="F154" s="27">
        <v>8</v>
      </c>
      <c r="G154" s="27">
        <v>10.3</v>
      </c>
      <c r="H154" s="27">
        <v>82.4</v>
      </c>
      <c r="I154" s="29"/>
    </row>
    <row r="155" ht="22" customHeight="1" spans="1:13">
      <c r="A155" s="27">
        <v>903</v>
      </c>
      <c r="B155" s="27" t="s">
        <v>53</v>
      </c>
      <c r="C155" s="27" t="s">
        <v>125</v>
      </c>
      <c r="D155" s="27">
        <v>1495</v>
      </c>
      <c r="E155" s="27">
        <v>4</v>
      </c>
      <c r="F155" s="27">
        <v>8</v>
      </c>
      <c r="G155" s="27">
        <v>8.07</v>
      </c>
      <c r="H155" s="27">
        <v>64.56</v>
      </c>
      <c r="I155" s="30"/>
      <c r="J155" s="5">
        <v>345</v>
      </c>
      <c r="K155" s="5" t="s">
        <v>128</v>
      </c>
      <c r="L155" s="8">
        <v>6</v>
      </c>
      <c r="M155" s="5" t="s">
        <v>46</v>
      </c>
    </row>
    <row r="156" ht="22" customHeight="1" spans="1:13">
      <c r="A156" s="27" t="s">
        <v>129</v>
      </c>
      <c r="B156" s="27" t="s">
        <v>53</v>
      </c>
      <c r="C156" s="27" t="s">
        <v>125</v>
      </c>
      <c r="D156" s="27">
        <v>8510</v>
      </c>
      <c r="E156" s="27">
        <v>1</v>
      </c>
      <c r="F156" s="27">
        <v>1</v>
      </c>
      <c r="G156" s="27">
        <v>45.93</v>
      </c>
      <c r="H156" s="27">
        <v>45.93</v>
      </c>
      <c r="I156" s="28" t="s">
        <v>130</v>
      </c>
    </row>
    <row r="157" ht="22" customHeight="1" spans="1:13">
      <c r="A157" s="27" t="s">
        <v>131</v>
      </c>
      <c r="B157" s="27" t="s">
        <v>53</v>
      </c>
      <c r="C157" s="27" t="s">
        <v>125</v>
      </c>
      <c r="D157" s="27">
        <v>8510</v>
      </c>
      <c r="E157" s="27">
        <v>1</v>
      </c>
      <c r="F157" s="27">
        <v>1</v>
      </c>
      <c r="G157" s="27">
        <v>45.93</v>
      </c>
      <c r="H157" s="27">
        <v>45.93</v>
      </c>
      <c r="I157" s="29"/>
    </row>
    <row r="158" ht="22" customHeight="1" spans="1:13">
      <c r="A158" s="27">
        <v>904</v>
      </c>
      <c r="B158" s="27" t="s">
        <v>53</v>
      </c>
      <c r="C158" s="27" t="s">
        <v>125</v>
      </c>
      <c r="D158" s="27">
        <v>1217</v>
      </c>
      <c r="E158" s="27">
        <v>2</v>
      </c>
      <c r="F158" s="27">
        <v>4</v>
      </c>
      <c r="G158" s="27">
        <v>6.57</v>
      </c>
      <c r="H158" s="27">
        <v>26.28</v>
      </c>
      <c r="I158" s="29"/>
    </row>
    <row r="159" ht="22" customHeight="1" spans="1:13">
      <c r="A159" s="27">
        <v>910</v>
      </c>
      <c r="B159" s="27" t="s">
        <v>53</v>
      </c>
      <c r="C159" s="27" t="s">
        <v>125</v>
      </c>
      <c r="D159" s="27">
        <v>880</v>
      </c>
      <c r="E159" s="27">
        <v>2</v>
      </c>
      <c r="F159" s="27">
        <v>4</v>
      </c>
      <c r="G159" s="27">
        <v>4.75</v>
      </c>
      <c r="H159" s="27">
        <v>19</v>
      </c>
      <c r="I159" s="30"/>
    </row>
    <row r="160" ht="22" customHeight="1" spans="1:13">
      <c r="A160" s="27"/>
      <c r="B160" s="27"/>
      <c r="C160" s="31"/>
      <c r="D160" s="27"/>
      <c r="E160" s="27"/>
      <c r="F160" s="27"/>
      <c r="G160" s="27"/>
      <c r="H160" s="31">
        <f>SUM(H150:H159)</f>
        <v>508.8</v>
      </c>
      <c r="I160" s="31"/>
    </row>
    <row r="161" ht="22" customHeight="1" spans="1:9">
      <c r="A161" s="27" t="s">
        <v>132</v>
      </c>
      <c r="B161" s="27" t="s">
        <v>53</v>
      </c>
      <c r="C161" s="27" t="s">
        <v>133</v>
      </c>
      <c r="D161" s="27">
        <v>7670</v>
      </c>
      <c r="E161" s="27">
        <v>6</v>
      </c>
      <c r="F161" s="27">
        <v>6</v>
      </c>
      <c r="G161" s="27">
        <v>36.99</v>
      </c>
      <c r="H161" s="27">
        <v>221.94</v>
      </c>
      <c r="I161" s="28" t="s">
        <v>134</v>
      </c>
    </row>
    <row r="162" ht="22" customHeight="1" spans="1:9">
      <c r="A162" s="27" t="s">
        <v>135</v>
      </c>
      <c r="B162" s="27" t="s">
        <v>53</v>
      </c>
      <c r="C162" s="27" t="s">
        <v>133</v>
      </c>
      <c r="D162" s="27">
        <v>7670</v>
      </c>
      <c r="E162" s="27">
        <v>6</v>
      </c>
      <c r="F162" s="27">
        <v>6</v>
      </c>
      <c r="G162" s="27">
        <v>36.99</v>
      </c>
      <c r="H162" s="27">
        <v>221.94</v>
      </c>
      <c r="I162" s="29"/>
    </row>
    <row r="163" ht="22" customHeight="1" spans="1:9">
      <c r="A163" s="27">
        <v>1318</v>
      </c>
      <c r="B163" s="27" t="s">
        <v>53</v>
      </c>
      <c r="C163" s="27" t="s">
        <v>133</v>
      </c>
      <c r="D163" s="27">
        <v>3270</v>
      </c>
      <c r="E163" s="27">
        <v>4</v>
      </c>
      <c r="F163" s="27">
        <v>4</v>
      </c>
      <c r="G163" s="27">
        <v>15.77</v>
      </c>
      <c r="H163" s="27">
        <v>63.08</v>
      </c>
      <c r="I163" s="29"/>
    </row>
    <row r="164" ht="22" customHeight="1" spans="1:9">
      <c r="A164" s="27">
        <v>1612</v>
      </c>
      <c r="B164" s="27" t="s">
        <v>53</v>
      </c>
      <c r="C164" s="27" t="s">
        <v>133</v>
      </c>
      <c r="D164" s="27">
        <v>2233</v>
      </c>
      <c r="E164" s="27">
        <v>8</v>
      </c>
      <c r="F164" s="27">
        <v>8</v>
      </c>
      <c r="G164" s="27">
        <v>10.77</v>
      </c>
      <c r="H164" s="27">
        <v>86.16</v>
      </c>
      <c r="I164" s="30"/>
    </row>
    <row r="165" ht="22" customHeight="1" spans="1:9">
      <c r="A165" s="27" t="s">
        <v>136</v>
      </c>
      <c r="B165" s="27" t="s">
        <v>53</v>
      </c>
      <c r="C165" s="27" t="s">
        <v>133</v>
      </c>
      <c r="D165" s="27">
        <v>2490</v>
      </c>
      <c r="E165" s="27">
        <v>2</v>
      </c>
      <c r="F165" s="27">
        <v>2</v>
      </c>
      <c r="G165" s="27">
        <v>12.01</v>
      </c>
      <c r="H165" s="27">
        <v>24.02</v>
      </c>
      <c r="I165" s="28" t="s">
        <v>32</v>
      </c>
    </row>
    <row r="166" ht="22" customHeight="1" spans="1:9">
      <c r="A166" s="27" t="s">
        <v>137</v>
      </c>
      <c r="B166" s="27" t="s">
        <v>53</v>
      </c>
      <c r="C166" s="27" t="s">
        <v>133</v>
      </c>
      <c r="D166" s="27">
        <v>2490</v>
      </c>
      <c r="E166" s="27">
        <v>2</v>
      </c>
      <c r="F166" s="27">
        <v>2</v>
      </c>
      <c r="G166" s="27">
        <v>12.01</v>
      </c>
      <c r="H166" s="27">
        <v>24.02</v>
      </c>
      <c r="I166" s="29"/>
    </row>
    <row r="167" ht="22" customHeight="1" spans="1:9">
      <c r="A167" s="27" t="s">
        <v>138</v>
      </c>
      <c r="B167" s="27" t="s">
        <v>53</v>
      </c>
      <c r="C167" s="27" t="s">
        <v>133</v>
      </c>
      <c r="D167" s="27">
        <v>2433</v>
      </c>
      <c r="E167" s="27">
        <v>2</v>
      </c>
      <c r="F167" s="27">
        <v>2</v>
      </c>
      <c r="G167" s="27">
        <v>11.73</v>
      </c>
      <c r="H167" s="27">
        <v>23.46</v>
      </c>
      <c r="I167" s="29"/>
    </row>
    <row r="168" ht="22" customHeight="1" spans="1:9">
      <c r="A168" s="27" t="s">
        <v>139</v>
      </c>
      <c r="B168" s="27" t="s">
        <v>53</v>
      </c>
      <c r="C168" s="27" t="s">
        <v>133</v>
      </c>
      <c r="D168" s="27">
        <v>2433</v>
      </c>
      <c r="E168" s="27">
        <v>2</v>
      </c>
      <c r="F168" s="27">
        <v>2</v>
      </c>
      <c r="G168" s="27">
        <v>11.73</v>
      </c>
      <c r="H168" s="27">
        <v>23.46</v>
      </c>
      <c r="I168" s="30"/>
    </row>
    <row r="169" ht="22" customHeight="1" spans="1:9">
      <c r="A169" s="27" t="s">
        <v>140</v>
      </c>
      <c r="B169" s="27" t="s">
        <v>53</v>
      </c>
      <c r="C169" s="27" t="s">
        <v>133</v>
      </c>
      <c r="D169" s="27">
        <v>2020</v>
      </c>
      <c r="E169" s="27">
        <v>2</v>
      </c>
      <c r="F169" s="27">
        <v>2</v>
      </c>
      <c r="G169" s="27">
        <v>9.74</v>
      </c>
      <c r="H169" s="27">
        <v>19.48</v>
      </c>
      <c r="I169" s="28" t="s">
        <v>81</v>
      </c>
    </row>
    <row r="170" ht="22" customHeight="1" spans="1:9">
      <c r="A170" s="27" t="s">
        <v>141</v>
      </c>
      <c r="B170" s="27" t="s">
        <v>53</v>
      </c>
      <c r="C170" s="27" t="s">
        <v>133</v>
      </c>
      <c r="D170" s="27">
        <v>2020</v>
      </c>
      <c r="E170" s="27">
        <v>2</v>
      </c>
      <c r="F170" s="27">
        <v>2</v>
      </c>
      <c r="G170" s="27">
        <v>9.74</v>
      </c>
      <c r="H170" s="27">
        <v>19.48</v>
      </c>
      <c r="I170" s="29"/>
    </row>
    <row r="171" ht="22" customHeight="1" spans="1:9">
      <c r="A171" s="27">
        <v>1108</v>
      </c>
      <c r="B171" s="27" t="s">
        <v>53</v>
      </c>
      <c r="C171" s="27" t="s">
        <v>133</v>
      </c>
      <c r="D171" s="27">
        <v>2014</v>
      </c>
      <c r="E171" s="27">
        <v>4</v>
      </c>
      <c r="F171" s="27">
        <v>8</v>
      </c>
      <c r="G171" s="27">
        <v>9.71</v>
      </c>
      <c r="H171" s="27">
        <v>77.68</v>
      </c>
      <c r="I171" s="29"/>
    </row>
    <row r="172" ht="22" customHeight="1" spans="1:9">
      <c r="A172" s="27" t="s">
        <v>142</v>
      </c>
      <c r="B172" s="27" t="s">
        <v>53</v>
      </c>
      <c r="C172" s="27" t="s">
        <v>133</v>
      </c>
      <c r="D172" s="27">
        <v>1971</v>
      </c>
      <c r="E172" s="27">
        <v>2</v>
      </c>
      <c r="F172" s="27">
        <v>2</v>
      </c>
      <c r="G172" s="27">
        <v>9.5</v>
      </c>
      <c r="H172" s="27">
        <v>19</v>
      </c>
      <c r="I172" s="29"/>
    </row>
    <row r="173" ht="22" customHeight="1" spans="1:9">
      <c r="A173" s="27" t="s">
        <v>143</v>
      </c>
      <c r="B173" s="27" t="s">
        <v>53</v>
      </c>
      <c r="C173" s="27" t="s">
        <v>133</v>
      </c>
      <c r="D173" s="27">
        <v>1971</v>
      </c>
      <c r="E173" s="27">
        <v>2</v>
      </c>
      <c r="F173" s="27">
        <v>2</v>
      </c>
      <c r="G173" s="27">
        <v>9.5</v>
      </c>
      <c r="H173" s="27">
        <v>19</v>
      </c>
      <c r="I173" s="29"/>
    </row>
    <row r="174" ht="22" customHeight="1" spans="1:9">
      <c r="A174" s="27">
        <v>1030</v>
      </c>
      <c r="B174" s="27" t="s">
        <v>53</v>
      </c>
      <c r="C174" s="27" t="s">
        <v>133</v>
      </c>
      <c r="D174" s="27">
        <v>1723</v>
      </c>
      <c r="E174" s="27">
        <v>2</v>
      </c>
      <c r="F174" s="27">
        <v>4</v>
      </c>
      <c r="G174" s="27">
        <v>8.31</v>
      </c>
      <c r="H174" s="27">
        <v>33.24</v>
      </c>
      <c r="I174" s="30"/>
    </row>
    <row r="175" ht="22" customHeight="1" spans="1:9">
      <c r="A175" s="27">
        <v>1008</v>
      </c>
      <c r="B175" s="27" t="s">
        <v>53</v>
      </c>
      <c r="C175" s="27" t="s">
        <v>133</v>
      </c>
      <c r="D175" s="27">
        <v>1589</v>
      </c>
      <c r="E175" s="27">
        <v>2</v>
      </c>
      <c r="F175" s="27">
        <v>4</v>
      </c>
      <c r="G175" s="27">
        <v>7.66</v>
      </c>
      <c r="H175" s="27">
        <v>30.64</v>
      </c>
      <c r="I175" s="28" t="s">
        <v>54</v>
      </c>
    </row>
    <row r="176" ht="22" customHeight="1" spans="1:9">
      <c r="A176" s="27">
        <v>1608</v>
      </c>
      <c r="B176" s="27" t="s">
        <v>53</v>
      </c>
      <c r="C176" s="27" t="s">
        <v>133</v>
      </c>
      <c r="D176" s="27">
        <v>1546</v>
      </c>
      <c r="E176" s="27">
        <v>8</v>
      </c>
      <c r="F176" s="27">
        <v>8</v>
      </c>
      <c r="G176" s="27">
        <v>7.46</v>
      </c>
      <c r="H176" s="27">
        <v>59.68</v>
      </c>
      <c r="I176" s="29"/>
    </row>
    <row r="177" ht="22" customHeight="1" spans="1:13">
      <c r="A177" s="27">
        <v>1037</v>
      </c>
      <c r="B177" s="27" t="s">
        <v>53</v>
      </c>
      <c r="C177" s="27" t="s">
        <v>133</v>
      </c>
      <c r="D177" s="27">
        <v>1246</v>
      </c>
      <c r="E177" s="27">
        <v>2</v>
      </c>
      <c r="F177" s="27">
        <v>4</v>
      </c>
      <c r="G177" s="27">
        <v>6.01</v>
      </c>
      <c r="H177" s="27">
        <v>24.04</v>
      </c>
      <c r="I177" s="30"/>
    </row>
    <row r="178" ht="22" customHeight="1" spans="1:13">
      <c r="A178" s="27">
        <v>906</v>
      </c>
      <c r="B178" s="27" t="s">
        <v>53</v>
      </c>
      <c r="C178" s="27" t="s">
        <v>133</v>
      </c>
      <c r="D178" s="27">
        <v>1460</v>
      </c>
      <c r="E178" s="27">
        <v>2</v>
      </c>
      <c r="F178" s="27">
        <v>4</v>
      </c>
      <c r="G178" s="27">
        <v>7.04</v>
      </c>
      <c r="H178" s="27">
        <v>28.16</v>
      </c>
      <c r="I178" s="28" t="s">
        <v>54</v>
      </c>
    </row>
    <row r="179" ht="22" customHeight="1" spans="1:13">
      <c r="A179" s="27">
        <v>907</v>
      </c>
      <c r="B179" s="27" t="s">
        <v>53</v>
      </c>
      <c r="C179" s="27" t="s">
        <v>133</v>
      </c>
      <c r="D179" s="27">
        <v>1460</v>
      </c>
      <c r="E179" s="27">
        <v>2</v>
      </c>
      <c r="F179" s="27">
        <v>4</v>
      </c>
      <c r="G179" s="27">
        <v>7.04</v>
      </c>
      <c r="H179" s="27">
        <v>28.16</v>
      </c>
      <c r="I179" s="29"/>
    </row>
    <row r="180" ht="22" customHeight="1" spans="1:13">
      <c r="A180" s="27">
        <v>2217</v>
      </c>
      <c r="B180" s="27" t="s">
        <v>53</v>
      </c>
      <c r="C180" s="27" t="s">
        <v>133</v>
      </c>
      <c r="D180" s="27">
        <v>1082</v>
      </c>
      <c r="E180" s="27">
        <v>2</v>
      </c>
      <c r="F180" s="27">
        <v>4</v>
      </c>
      <c r="G180" s="27">
        <v>5.22</v>
      </c>
      <c r="H180" s="27">
        <v>20.88</v>
      </c>
      <c r="I180" s="29"/>
    </row>
    <row r="181" ht="22" customHeight="1" spans="1:13">
      <c r="A181" s="27">
        <v>2218</v>
      </c>
      <c r="B181" s="27" t="s">
        <v>53</v>
      </c>
      <c r="C181" s="27" t="s">
        <v>133</v>
      </c>
      <c r="D181" s="27">
        <v>1018</v>
      </c>
      <c r="E181" s="27">
        <v>2</v>
      </c>
      <c r="F181" s="27">
        <v>4</v>
      </c>
      <c r="G181" s="27">
        <v>4.91</v>
      </c>
      <c r="H181" s="27">
        <v>19.64</v>
      </c>
      <c r="I181" s="29"/>
    </row>
    <row r="182" ht="22" customHeight="1" spans="1:13">
      <c r="A182" s="27">
        <v>2117</v>
      </c>
      <c r="B182" s="27" t="s">
        <v>53</v>
      </c>
      <c r="C182" s="27" t="s">
        <v>133</v>
      </c>
      <c r="D182" s="27">
        <v>860</v>
      </c>
      <c r="E182" s="27">
        <v>2</v>
      </c>
      <c r="F182" s="27">
        <v>4</v>
      </c>
      <c r="G182" s="27">
        <v>4.15</v>
      </c>
      <c r="H182" s="27">
        <v>16.6</v>
      </c>
      <c r="I182" s="30"/>
    </row>
    <row r="183" ht="22" customHeight="1" spans="1:13">
      <c r="A183" s="27">
        <v>908</v>
      </c>
      <c r="B183" s="27" t="s">
        <v>53</v>
      </c>
      <c r="C183" s="27" t="s">
        <v>133</v>
      </c>
      <c r="D183" s="27">
        <v>985</v>
      </c>
      <c r="E183" s="27">
        <v>2</v>
      </c>
      <c r="F183" s="27">
        <v>4</v>
      </c>
      <c r="G183" s="27">
        <v>4.75</v>
      </c>
      <c r="H183" s="27">
        <v>19</v>
      </c>
      <c r="I183" s="28" t="s">
        <v>54</v>
      </c>
    </row>
    <row r="184" ht="22" customHeight="1" spans="1:13">
      <c r="A184" s="27">
        <v>2118</v>
      </c>
      <c r="B184" s="27" t="s">
        <v>53</v>
      </c>
      <c r="C184" s="27" t="s">
        <v>133</v>
      </c>
      <c r="D184" s="27">
        <v>820</v>
      </c>
      <c r="E184" s="27">
        <v>2</v>
      </c>
      <c r="F184" s="27">
        <v>4</v>
      </c>
      <c r="G184" s="27">
        <v>3.95</v>
      </c>
      <c r="H184" s="27">
        <v>15.8</v>
      </c>
      <c r="I184" s="29"/>
    </row>
    <row r="185" ht="22" customHeight="1" spans="1:13">
      <c r="A185" s="27">
        <v>1607</v>
      </c>
      <c r="B185" s="27" t="s">
        <v>53</v>
      </c>
      <c r="C185" s="27" t="s">
        <v>133</v>
      </c>
      <c r="D185" s="27">
        <v>804</v>
      </c>
      <c r="E185" s="27">
        <v>8</v>
      </c>
      <c r="F185" s="27">
        <v>8</v>
      </c>
      <c r="G185" s="27">
        <v>3.88</v>
      </c>
      <c r="H185" s="27">
        <v>31.04</v>
      </c>
      <c r="I185" s="29"/>
    </row>
    <row r="186" ht="22" customHeight="1" spans="1:13">
      <c r="A186" s="27">
        <v>2017</v>
      </c>
      <c r="B186" s="27" t="s">
        <v>53</v>
      </c>
      <c r="C186" s="27" t="s">
        <v>133</v>
      </c>
      <c r="D186" s="27">
        <v>658</v>
      </c>
      <c r="E186" s="27">
        <v>2</v>
      </c>
      <c r="F186" s="27">
        <v>4</v>
      </c>
      <c r="G186" s="27">
        <v>3.17</v>
      </c>
      <c r="H186" s="27">
        <v>12.68</v>
      </c>
      <c r="I186" s="29"/>
    </row>
    <row r="187" ht="22" customHeight="1" spans="1:13">
      <c r="A187" s="27">
        <v>2018</v>
      </c>
      <c r="B187" s="27" t="s">
        <v>53</v>
      </c>
      <c r="C187" s="27" t="s">
        <v>133</v>
      </c>
      <c r="D187" s="27">
        <v>622</v>
      </c>
      <c r="E187" s="27">
        <v>2</v>
      </c>
      <c r="F187" s="27">
        <v>4</v>
      </c>
      <c r="G187" s="27">
        <v>3</v>
      </c>
      <c r="H187" s="27">
        <v>12</v>
      </c>
      <c r="I187" s="29"/>
      <c r="J187" s="5">
        <v>345</v>
      </c>
      <c r="K187" s="5" t="s">
        <v>144</v>
      </c>
      <c r="L187" s="8">
        <v>14</v>
      </c>
      <c r="M187" s="5" t="s">
        <v>46</v>
      </c>
    </row>
    <row r="188" ht="22" customHeight="1" spans="1:13">
      <c r="A188" s="27">
        <v>1913</v>
      </c>
      <c r="B188" s="27" t="s">
        <v>53</v>
      </c>
      <c r="C188" s="27" t="s">
        <v>133</v>
      </c>
      <c r="D188" s="27">
        <v>500</v>
      </c>
      <c r="E188" s="27">
        <v>2</v>
      </c>
      <c r="F188" s="27">
        <v>4</v>
      </c>
      <c r="G188" s="27">
        <v>2.41</v>
      </c>
      <c r="H188" s="27">
        <v>9.64</v>
      </c>
      <c r="I188" s="29"/>
      <c r="J188" s="5">
        <v>345</v>
      </c>
      <c r="K188" s="5" t="s">
        <v>145</v>
      </c>
      <c r="L188" s="8">
        <v>4</v>
      </c>
      <c r="M188" s="5" t="s">
        <v>46</v>
      </c>
    </row>
    <row r="189" ht="22" customHeight="1" spans="1:13">
      <c r="A189" s="27">
        <v>1064</v>
      </c>
      <c r="B189" s="27" t="s">
        <v>53</v>
      </c>
      <c r="C189" s="27" t="s">
        <v>133</v>
      </c>
      <c r="D189" s="27">
        <v>165</v>
      </c>
      <c r="E189" s="27">
        <v>4</v>
      </c>
      <c r="F189" s="27">
        <v>8</v>
      </c>
      <c r="G189" s="27">
        <v>0.8</v>
      </c>
      <c r="H189" s="27">
        <v>6.4</v>
      </c>
      <c r="I189" s="29"/>
      <c r="J189" s="5">
        <v>345</v>
      </c>
      <c r="K189" s="5" t="s">
        <v>146</v>
      </c>
      <c r="L189" s="8">
        <v>6</v>
      </c>
    </row>
    <row r="190" ht="22" customHeight="1" spans="1:13">
      <c r="A190" s="27">
        <v>1065</v>
      </c>
      <c r="B190" s="27" t="s">
        <v>53</v>
      </c>
      <c r="C190" s="27" t="s">
        <v>133</v>
      </c>
      <c r="D190" s="27">
        <v>165</v>
      </c>
      <c r="E190" s="27">
        <v>4</v>
      </c>
      <c r="F190" s="27">
        <v>8</v>
      </c>
      <c r="G190" s="27">
        <v>0.8</v>
      </c>
      <c r="H190" s="27">
        <v>6.4</v>
      </c>
      <c r="I190" s="30"/>
    </row>
    <row r="191" ht="22" customHeight="1" spans="1:13">
      <c r="A191" s="27"/>
      <c r="B191" s="27"/>
      <c r="C191" s="27"/>
      <c r="D191" s="27"/>
      <c r="E191" s="27"/>
      <c r="F191" s="27"/>
      <c r="G191" s="27"/>
      <c r="H191" s="31">
        <f>SUM(H161:H190)</f>
        <v>1216.72</v>
      </c>
      <c r="I191" s="31"/>
    </row>
    <row r="192" ht="22" customHeight="1" spans="1:13">
      <c r="A192" s="27" t="s">
        <v>147</v>
      </c>
      <c r="B192" s="27" t="s">
        <v>50</v>
      </c>
      <c r="C192" s="27" t="s">
        <v>133</v>
      </c>
      <c r="D192" s="27">
        <v>2326</v>
      </c>
      <c r="E192" s="27">
        <v>4</v>
      </c>
      <c r="F192" s="27">
        <v>4</v>
      </c>
      <c r="G192" s="27">
        <v>11.22</v>
      </c>
      <c r="H192" s="27">
        <v>44.88</v>
      </c>
      <c r="I192" s="28" t="s">
        <v>148</v>
      </c>
    </row>
    <row r="193" ht="22" customHeight="1" spans="1:12">
      <c r="A193" s="27" t="s">
        <v>149</v>
      </c>
      <c r="B193" s="27" t="s">
        <v>50</v>
      </c>
      <c r="C193" s="27" t="s">
        <v>133</v>
      </c>
      <c r="D193" s="27">
        <v>1619</v>
      </c>
      <c r="E193" s="27">
        <v>2</v>
      </c>
      <c r="F193" s="27">
        <v>2</v>
      </c>
      <c r="G193" s="27">
        <v>7.81</v>
      </c>
      <c r="H193" s="27">
        <v>15.62</v>
      </c>
      <c r="I193" s="29"/>
      <c r="J193" s="5">
        <v>235</v>
      </c>
      <c r="K193" s="5" t="s">
        <v>145</v>
      </c>
      <c r="L193" s="8">
        <v>2</v>
      </c>
    </row>
    <row r="194" ht="22" customHeight="1" spans="1:12">
      <c r="A194" s="27" t="s">
        <v>150</v>
      </c>
      <c r="B194" s="27" t="s">
        <v>50</v>
      </c>
      <c r="C194" s="27" t="s">
        <v>133</v>
      </c>
      <c r="D194" s="27">
        <v>1619</v>
      </c>
      <c r="E194" s="27">
        <v>2</v>
      </c>
      <c r="F194" s="27">
        <v>2</v>
      </c>
      <c r="G194" s="27">
        <v>7.81</v>
      </c>
      <c r="H194" s="27">
        <v>15.62</v>
      </c>
      <c r="I194" s="30"/>
    </row>
    <row r="195" ht="22" customHeight="1" spans="1:12">
      <c r="A195" s="27"/>
      <c r="B195" s="27"/>
      <c r="C195" s="31"/>
      <c r="D195" s="27"/>
      <c r="E195" s="27"/>
      <c r="F195" s="27"/>
      <c r="G195" s="27"/>
      <c r="H195" s="31">
        <f>SUM(H192:H194)</f>
        <v>76.12</v>
      </c>
      <c r="I195" s="31"/>
    </row>
    <row r="196" ht="22" customHeight="1" spans="1:12">
      <c r="A196" s="27">
        <v>1610</v>
      </c>
      <c r="B196" s="27" t="s">
        <v>50</v>
      </c>
      <c r="C196" s="27" t="s">
        <v>151</v>
      </c>
      <c r="D196" s="27">
        <v>1967</v>
      </c>
      <c r="E196" s="27">
        <v>8</v>
      </c>
      <c r="F196" s="27">
        <v>8</v>
      </c>
      <c r="G196" s="27">
        <v>8.36</v>
      </c>
      <c r="H196" s="27">
        <v>66.88</v>
      </c>
      <c r="I196" s="28" t="s">
        <v>58</v>
      </c>
    </row>
    <row r="197" ht="22" customHeight="1" spans="1:12">
      <c r="A197" s="27">
        <v>1312</v>
      </c>
      <c r="B197" s="27" t="s">
        <v>50</v>
      </c>
      <c r="C197" s="27" t="s">
        <v>151</v>
      </c>
      <c r="D197" s="27">
        <v>1903</v>
      </c>
      <c r="E197" s="27">
        <v>8</v>
      </c>
      <c r="F197" s="27">
        <v>8</v>
      </c>
      <c r="G197" s="27">
        <v>8.09</v>
      </c>
      <c r="H197" s="27">
        <v>64.72</v>
      </c>
      <c r="I197" s="29"/>
    </row>
    <row r="198" ht="22" customHeight="1" spans="1:12">
      <c r="A198" s="27" t="s">
        <v>152</v>
      </c>
      <c r="B198" s="27" t="s">
        <v>50</v>
      </c>
      <c r="C198" s="27" t="s">
        <v>151</v>
      </c>
      <c r="D198" s="27">
        <v>1175</v>
      </c>
      <c r="E198" s="27">
        <v>4</v>
      </c>
      <c r="F198" s="27">
        <v>4</v>
      </c>
      <c r="G198" s="27">
        <v>5</v>
      </c>
      <c r="H198" s="27">
        <v>20</v>
      </c>
      <c r="I198" s="30"/>
    </row>
    <row r="199" ht="22" customHeight="1" spans="1:12">
      <c r="A199" s="27">
        <v>1311</v>
      </c>
      <c r="B199" s="27" t="s">
        <v>50</v>
      </c>
      <c r="C199" s="27" t="s">
        <v>151</v>
      </c>
      <c r="D199" s="27">
        <v>1645</v>
      </c>
      <c r="E199" s="27">
        <v>8</v>
      </c>
      <c r="F199" s="27">
        <v>8</v>
      </c>
      <c r="G199" s="27">
        <v>6.99</v>
      </c>
      <c r="H199" s="27">
        <v>55.92</v>
      </c>
      <c r="I199" s="28" t="s">
        <v>153</v>
      </c>
    </row>
    <row r="200" ht="22" customHeight="1" spans="1:12">
      <c r="A200" s="27">
        <v>929</v>
      </c>
      <c r="B200" s="27" t="s">
        <v>50</v>
      </c>
      <c r="C200" s="27" t="s">
        <v>151</v>
      </c>
      <c r="D200" s="27">
        <v>1465</v>
      </c>
      <c r="E200" s="27">
        <v>2</v>
      </c>
      <c r="F200" s="27">
        <v>4</v>
      </c>
      <c r="G200" s="27">
        <v>6.23</v>
      </c>
      <c r="H200" s="27">
        <v>24.92</v>
      </c>
      <c r="I200" s="29"/>
    </row>
    <row r="201" ht="22" customHeight="1" spans="1:12">
      <c r="A201" s="27">
        <v>1310</v>
      </c>
      <c r="B201" s="27" t="s">
        <v>50</v>
      </c>
      <c r="C201" s="27" t="s">
        <v>151</v>
      </c>
      <c r="D201" s="27">
        <v>1561</v>
      </c>
      <c r="E201" s="27">
        <v>8</v>
      </c>
      <c r="F201" s="27">
        <v>8</v>
      </c>
      <c r="G201" s="27">
        <v>6.64</v>
      </c>
      <c r="H201" s="27">
        <v>53.12</v>
      </c>
      <c r="I201" s="30"/>
    </row>
    <row r="202" ht="22" customHeight="1" spans="1:12">
      <c r="A202" s="27">
        <v>905</v>
      </c>
      <c r="B202" s="27" t="s">
        <v>50</v>
      </c>
      <c r="C202" s="27" t="s">
        <v>151</v>
      </c>
      <c r="D202" s="27">
        <v>1425</v>
      </c>
      <c r="E202" s="27">
        <v>4</v>
      </c>
      <c r="F202" s="27">
        <v>8</v>
      </c>
      <c r="G202" s="27">
        <v>6.06</v>
      </c>
      <c r="H202" s="27">
        <v>48.48</v>
      </c>
      <c r="I202" s="28" t="s">
        <v>153</v>
      </c>
    </row>
    <row r="203" ht="22" customHeight="1" spans="1:12">
      <c r="A203" s="27" t="s">
        <v>154</v>
      </c>
      <c r="B203" s="27" t="s">
        <v>50</v>
      </c>
      <c r="C203" s="27" t="s">
        <v>151</v>
      </c>
      <c r="D203" s="27">
        <v>1256</v>
      </c>
      <c r="E203" s="27">
        <v>4</v>
      </c>
      <c r="F203" s="27">
        <v>4</v>
      </c>
      <c r="G203" s="27">
        <v>5.34</v>
      </c>
      <c r="H203" s="27">
        <v>21.36</v>
      </c>
      <c r="I203" s="29"/>
    </row>
    <row r="204" ht="22" customHeight="1" spans="1:12">
      <c r="A204" s="27" t="s">
        <v>155</v>
      </c>
      <c r="B204" s="27" t="s">
        <v>50</v>
      </c>
      <c r="C204" s="27" t="s">
        <v>151</v>
      </c>
      <c r="D204" s="27">
        <v>1255</v>
      </c>
      <c r="E204" s="27">
        <v>4</v>
      </c>
      <c r="F204" s="27">
        <v>4</v>
      </c>
      <c r="G204" s="27">
        <v>5.34</v>
      </c>
      <c r="H204" s="27">
        <v>21.36</v>
      </c>
      <c r="I204" s="29"/>
    </row>
    <row r="205" ht="22" customHeight="1" spans="1:12">
      <c r="A205" s="27" t="s">
        <v>156</v>
      </c>
      <c r="B205" s="27" t="s">
        <v>50</v>
      </c>
      <c r="C205" s="27" t="s">
        <v>151</v>
      </c>
      <c r="D205" s="27">
        <v>1250</v>
      </c>
      <c r="E205" s="27">
        <v>2</v>
      </c>
      <c r="F205" s="27">
        <v>2</v>
      </c>
      <c r="G205" s="27">
        <v>5.31</v>
      </c>
      <c r="H205" s="27">
        <v>10.62</v>
      </c>
      <c r="I205" s="29"/>
    </row>
    <row r="206" ht="22" customHeight="1" spans="1:12">
      <c r="A206" s="27" t="s">
        <v>157</v>
      </c>
      <c r="B206" s="27" t="s">
        <v>50</v>
      </c>
      <c r="C206" s="27" t="s">
        <v>151</v>
      </c>
      <c r="D206" s="27">
        <v>1250</v>
      </c>
      <c r="E206" s="27">
        <v>2</v>
      </c>
      <c r="F206" s="27">
        <v>2</v>
      </c>
      <c r="G206" s="27">
        <v>5.31</v>
      </c>
      <c r="H206" s="27">
        <v>10.62</v>
      </c>
      <c r="I206" s="29"/>
    </row>
    <row r="207" ht="22" customHeight="1" spans="1:12">
      <c r="A207" s="27" t="s">
        <v>158</v>
      </c>
      <c r="B207" s="27" t="s">
        <v>50</v>
      </c>
      <c r="C207" s="27" t="s">
        <v>151</v>
      </c>
      <c r="D207" s="27">
        <v>1250</v>
      </c>
      <c r="E207" s="27">
        <v>2</v>
      </c>
      <c r="F207" s="27">
        <v>2</v>
      </c>
      <c r="G207" s="27">
        <v>5.31</v>
      </c>
      <c r="H207" s="27">
        <v>10.62</v>
      </c>
      <c r="I207" s="29"/>
    </row>
    <row r="208" ht="22" customHeight="1" spans="1:12">
      <c r="A208" s="27" t="s">
        <v>159</v>
      </c>
      <c r="B208" s="27" t="s">
        <v>50</v>
      </c>
      <c r="C208" s="27" t="s">
        <v>151</v>
      </c>
      <c r="D208" s="27">
        <v>1250</v>
      </c>
      <c r="E208" s="27">
        <v>2</v>
      </c>
      <c r="F208" s="27">
        <v>2</v>
      </c>
      <c r="G208" s="27">
        <v>5.31</v>
      </c>
      <c r="H208" s="27">
        <v>10.62</v>
      </c>
      <c r="I208" s="30"/>
    </row>
    <row r="209" ht="22" customHeight="1" spans="1:13">
      <c r="A209" s="27">
        <v>1609</v>
      </c>
      <c r="B209" s="27" t="s">
        <v>50</v>
      </c>
      <c r="C209" s="27" t="s">
        <v>151</v>
      </c>
      <c r="D209" s="27">
        <v>1539</v>
      </c>
      <c r="E209" s="27">
        <v>8</v>
      </c>
      <c r="F209" s="27">
        <v>8</v>
      </c>
      <c r="G209" s="27">
        <v>6.54</v>
      </c>
      <c r="H209" s="27">
        <v>52.32</v>
      </c>
      <c r="I209" s="28" t="s">
        <v>58</v>
      </c>
    </row>
    <row r="210" ht="22" customHeight="1" spans="1:13">
      <c r="A210" s="27">
        <v>909</v>
      </c>
      <c r="B210" s="27" t="s">
        <v>50</v>
      </c>
      <c r="C210" s="27" t="s">
        <v>151</v>
      </c>
      <c r="D210" s="27">
        <v>1186</v>
      </c>
      <c r="E210" s="27">
        <v>4</v>
      </c>
      <c r="F210" s="27">
        <v>8</v>
      </c>
      <c r="G210" s="27">
        <v>5.04</v>
      </c>
      <c r="H210" s="27">
        <v>40.32</v>
      </c>
      <c r="I210" s="29"/>
    </row>
    <row r="211" ht="21" customHeight="1" spans="1:13">
      <c r="A211" s="27" t="s">
        <v>160</v>
      </c>
      <c r="B211" s="27" t="s">
        <v>50</v>
      </c>
      <c r="C211" s="27" t="s">
        <v>151</v>
      </c>
      <c r="D211" s="27">
        <v>1196</v>
      </c>
      <c r="E211" s="27">
        <v>4</v>
      </c>
      <c r="F211" s="27">
        <v>4</v>
      </c>
      <c r="G211" s="27">
        <v>5.08</v>
      </c>
      <c r="H211" s="27">
        <v>20.32</v>
      </c>
      <c r="I211" s="29"/>
    </row>
    <row r="212" ht="21" customHeight="1" spans="1:13">
      <c r="A212" s="27" t="s">
        <v>161</v>
      </c>
      <c r="B212" s="27" t="s">
        <v>50</v>
      </c>
      <c r="C212" s="27" t="s">
        <v>151</v>
      </c>
      <c r="D212" s="27">
        <v>1116</v>
      </c>
      <c r="E212" s="27">
        <v>2</v>
      </c>
      <c r="F212" s="27">
        <v>2</v>
      </c>
      <c r="G212" s="27">
        <v>4.74</v>
      </c>
      <c r="H212" s="27">
        <v>9.48</v>
      </c>
      <c r="I212" s="29"/>
    </row>
    <row r="213" ht="21" customHeight="1" spans="1:13">
      <c r="A213" s="27" t="s">
        <v>162</v>
      </c>
      <c r="B213" s="27" t="s">
        <v>50</v>
      </c>
      <c r="C213" s="27" t="s">
        <v>151</v>
      </c>
      <c r="D213" s="27">
        <v>1116</v>
      </c>
      <c r="E213" s="27">
        <v>2</v>
      </c>
      <c r="F213" s="27">
        <v>2</v>
      </c>
      <c r="G213" s="27">
        <v>4.74</v>
      </c>
      <c r="H213" s="27">
        <v>9.48</v>
      </c>
      <c r="I213" s="29"/>
    </row>
    <row r="214" ht="21" customHeight="1" spans="1:13">
      <c r="A214" s="27" t="s">
        <v>163</v>
      </c>
      <c r="B214" s="27" t="s">
        <v>50</v>
      </c>
      <c r="C214" s="27" t="s">
        <v>151</v>
      </c>
      <c r="D214" s="27">
        <v>1110</v>
      </c>
      <c r="E214" s="27">
        <v>2</v>
      </c>
      <c r="F214" s="27">
        <v>2</v>
      </c>
      <c r="G214" s="27">
        <v>4.72</v>
      </c>
      <c r="H214" s="27">
        <v>9.44</v>
      </c>
      <c r="I214" s="29"/>
    </row>
    <row r="215" ht="21" customHeight="1" spans="1:13">
      <c r="A215" s="27" t="s">
        <v>164</v>
      </c>
      <c r="B215" s="27" t="s">
        <v>50</v>
      </c>
      <c r="C215" s="27" t="s">
        <v>151</v>
      </c>
      <c r="D215" s="27">
        <v>1110</v>
      </c>
      <c r="E215" s="27">
        <v>2</v>
      </c>
      <c r="F215" s="27">
        <v>2</v>
      </c>
      <c r="G215" s="27">
        <v>4.72</v>
      </c>
      <c r="H215" s="27">
        <v>9.44</v>
      </c>
      <c r="I215" s="30"/>
    </row>
    <row r="216" ht="21" customHeight="1" spans="1:13">
      <c r="A216" s="27">
        <v>930</v>
      </c>
      <c r="B216" s="27" t="s">
        <v>50</v>
      </c>
      <c r="C216" s="27" t="s">
        <v>151</v>
      </c>
      <c r="D216" s="27">
        <v>1465</v>
      </c>
      <c r="E216" s="27">
        <v>2</v>
      </c>
      <c r="F216" s="27">
        <v>4</v>
      </c>
      <c r="G216" s="27">
        <v>6.23</v>
      </c>
      <c r="H216" s="27">
        <v>24.92</v>
      </c>
      <c r="I216" s="28" t="s">
        <v>21</v>
      </c>
      <c r="J216" s="5">
        <v>235</v>
      </c>
      <c r="K216" s="5" t="s">
        <v>165</v>
      </c>
      <c r="L216" s="8">
        <v>10</v>
      </c>
      <c r="M216" s="5" t="s">
        <v>46</v>
      </c>
    </row>
    <row r="217" ht="21" customHeight="1" spans="1:13">
      <c r="A217" s="27" t="s">
        <v>166</v>
      </c>
      <c r="B217" s="27" t="s">
        <v>50</v>
      </c>
      <c r="C217" s="27" t="s">
        <v>151</v>
      </c>
      <c r="D217" s="27">
        <v>897</v>
      </c>
      <c r="E217" s="27">
        <v>2</v>
      </c>
      <c r="F217" s="27">
        <v>2</v>
      </c>
      <c r="G217" s="27">
        <v>3.81</v>
      </c>
      <c r="H217" s="27">
        <v>7.62</v>
      </c>
      <c r="I217" s="29"/>
      <c r="J217" s="5">
        <v>235</v>
      </c>
      <c r="K217" s="5" t="s">
        <v>167</v>
      </c>
      <c r="L217" s="8">
        <v>8</v>
      </c>
      <c r="M217" s="5" t="s">
        <v>46</v>
      </c>
    </row>
    <row r="218" ht="21" customHeight="1" spans="1:13">
      <c r="A218" s="27" t="s">
        <v>168</v>
      </c>
      <c r="B218" s="27" t="s">
        <v>50</v>
      </c>
      <c r="C218" s="27" t="s">
        <v>151</v>
      </c>
      <c r="D218" s="27">
        <v>897</v>
      </c>
      <c r="E218" s="27">
        <v>2</v>
      </c>
      <c r="F218" s="27">
        <v>2</v>
      </c>
      <c r="G218" s="27">
        <v>3.81</v>
      </c>
      <c r="H218" s="27">
        <v>7.62</v>
      </c>
      <c r="I218" s="29"/>
    </row>
    <row r="219" ht="21" customHeight="1" spans="1:13">
      <c r="A219" s="27">
        <v>1032</v>
      </c>
      <c r="B219" s="27" t="s">
        <v>50</v>
      </c>
      <c r="C219" s="27" t="s">
        <v>151</v>
      </c>
      <c r="D219" s="27">
        <v>1589</v>
      </c>
      <c r="E219" s="27">
        <v>2</v>
      </c>
      <c r="F219" s="27">
        <v>4</v>
      </c>
      <c r="G219" s="27">
        <v>6.76</v>
      </c>
      <c r="H219" s="27">
        <v>27.04</v>
      </c>
      <c r="I219" s="30"/>
    </row>
    <row r="220" ht="21" customHeight="1" spans="1:13">
      <c r="A220" s="27"/>
      <c r="B220" s="27"/>
      <c r="C220" s="31"/>
      <c r="D220" s="27"/>
      <c r="E220" s="27"/>
      <c r="F220" s="27"/>
      <c r="G220" s="27"/>
      <c r="H220" s="31">
        <f>SUM(H196:H219)</f>
        <v>637.24</v>
      </c>
      <c r="I220" s="31"/>
    </row>
    <row r="221" ht="21" customHeight="1" spans="1:13">
      <c r="A221" s="27" t="s">
        <v>169</v>
      </c>
      <c r="B221" s="27" t="s">
        <v>50</v>
      </c>
      <c r="C221" s="27" t="s">
        <v>170</v>
      </c>
      <c r="D221" s="27">
        <v>4244</v>
      </c>
      <c r="E221" s="27">
        <v>2</v>
      </c>
      <c r="F221" s="27">
        <v>2</v>
      </c>
      <c r="G221" s="27">
        <v>14.63</v>
      </c>
      <c r="H221" s="27">
        <v>29.26</v>
      </c>
      <c r="I221" s="28" t="s">
        <v>81</v>
      </c>
    </row>
    <row r="222" ht="21" customHeight="1" spans="1:13">
      <c r="A222" s="27" t="s">
        <v>171</v>
      </c>
      <c r="B222" s="27" t="s">
        <v>50</v>
      </c>
      <c r="C222" s="27" t="s">
        <v>170</v>
      </c>
      <c r="D222" s="27">
        <v>4244</v>
      </c>
      <c r="E222" s="27">
        <v>2</v>
      </c>
      <c r="F222" s="27">
        <v>2</v>
      </c>
      <c r="G222" s="27">
        <v>14.63</v>
      </c>
      <c r="H222" s="27">
        <v>29.26</v>
      </c>
      <c r="I222" s="29"/>
    </row>
    <row r="223" ht="21" customHeight="1" spans="1:13">
      <c r="A223" s="27">
        <v>1619</v>
      </c>
      <c r="B223" s="27" t="s">
        <v>50</v>
      </c>
      <c r="C223" s="27" t="s">
        <v>170</v>
      </c>
      <c r="D223" s="27">
        <v>3342</v>
      </c>
      <c r="E223" s="27">
        <v>2</v>
      </c>
      <c r="F223" s="27">
        <v>2</v>
      </c>
      <c r="G223" s="27">
        <v>11.52</v>
      </c>
      <c r="H223" s="27">
        <v>23.04</v>
      </c>
      <c r="I223" s="29"/>
    </row>
    <row r="224" ht="21" customHeight="1" spans="1:13">
      <c r="A224" s="27">
        <v>1620</v>
      </c>
      <c r="B224" s="27" t="s">
        <v>50</v>
      </c>
      <c r="C224" s="27" t="s">
        <v>170</v>
      </c>
      <c r="D224" s="27">
        <v>3342</v>
      </c>
      <c r="E224" s="27">
        <v>2</v>
      </c>
      <c r="F224" s="27">
        <v>2</v>
      </c>
      <c r="G224" s="27">
        <v>11.52</v>
      </c>
      <c r="H224" s="27">
        <v>23.04</v>
      </c>
      <c r="I224" s="29"/>
    </row>
    <row r="225" ht="21" customHeight="1" spans="1:13">
      <c r="A225" s="27">
        <v>1140</v>
      </c>
      <c r="B225" s="27" t="s">
        <v>50</v>
      </c>
      <c r="C225" s="27" t="s">
        <v>170</v>
      </c>
      <c r="D225" s="27">
        <v>2321</v>
      </c>
      <c r="E225" s="27">
        <v>2</v>
      </c>
      <c r="F225" s="27">
        <v>4</v>
      </c>
      <c r="G225" s="27">
        <v>8</v>
      </c>
      <c r="H225" s="27">
        <v>32</v>
      </c>
      <c r="I225" s="30"/>
    </row>
    <row r="226" ht="22" customHeight="1" spans="1:13">
      <c r="A226" s="27" t="s">
        <v>172</v>
      </c>
      <c r="B226" s="27" t="s">
        <v>50</v>
      </c>
      <c r="C226" s="27" t="s">
        <v>170</v>
      </c>
      <c r="D226" s="27">
        <v>4244</v>
      </c>
      <c r="E226" s="27">
        <v>2</v>
      </c>
      <c r="F226" s="27">
        <v>2</v>
      </c>
      <c r="G226" s="27">
        <v>14.63</v>
      </c>
      <c r="H226" s="27">
        <v>29.26</v>
      </c>
      <c r="I226" s="28" t="s">
        <v>58</v>
      </c>
      <c r="J226" s="5">
        <v>235</v>
      </c>
      <c r="K226" s="5" t="s">
        <v>173</v>
      </c>
      <c r="L226" s="8">
        <v>10</v>
      </c>
      <c r="M226" s="5" t="s">
        <v>46</v>
      </c>
    </row>
    <row r="227" ht="22" customHeight="1" spans="1:13">
      <c r="A227" s="27" t="s">
        <v>174</v>
      </c>
      <c r="B227" s="27" t="s">
        <v>50</v>
      </c>
      <c r="C227" s="27" t="s">
        <v>170</v>
      </c>
      <c r="D227" s="27">
        <v>4244</v>
      </c>
      <c r="E227" s="27">
        <v>2</v>
      </c>
      <c r="F227" s="27">
        <v>2</v>
      </c>
      <c r="G227" s="27">
        <v>14.63</v>
      </c>
      <c r="H227" s="27">
        <v>29.26</v>
      </c>
      <c r="I227" s="29"/>
      <c r="J227" s="5">
        <v>235</v>
      </c>
      <c r="K227" s="5" t="s">
        <v>175</v>
      </c>
      <c r="L227" s="8">
        <v>18</v>
      </c>
    </row>
    <row r="228" ht="22" customHeight="1" spans="1:13">
      <c r="A228" s="27" t="s">
        <v>176</v>
      </c>
      <c r="B228" s="27" t="s">
        <v>50</v>
      </c>
      <c r="C228" s="27" t="s">
        <v>170</v>
      </c>
      <c r="D228" s="27">
        <v>2804</v>
      </c>
      <c r="E228" s="27">
        <v>2</v>
      </c>
      <c r="F228" s="27">
        <v>2</v>
      </c>
      <c r="G228" s="27">
        <v>9.66</v>
      </c>
      <c r="H228" s="27">
        <v>19.32</v>
      </c>
      <c r="I228" s="29"/>
    </row>
    <row r="229" ht="22" customHeight="1" spans="1:13">
      <c r="A229" s="27" t="s">
        <v>177</v>
      </c>
      <c r="B229" s="27" t="s">
        <v>50</v>
      </c>
      <c r="C229" s="27" t="s">
        <v>170</v>
      </c>
      <c r="D229" s="27">
        <v>2804</v>
      </c>
      <c r="E229" s="27">
        <v>2</v>
      </c>
      <c r="F229" s="27">
        <v>2</v>
      </c>
      <c r="G229" s="27">
        <v>9.66</v>
      </c>
      <c r="H229" s="27">
        <v>19.32</v>
      </c>
      <c r="I229" s="29"/>
    </row>
    <row r="230" ht="22" customHeight="1" spans="1:13">
      <c r="A230" s="27">
        <v>1042</v>
      </c>
      <c r="B230" s="27" t="s">
        <v>50</v>
      </c>
      <c r="C230" s="27" t="s">
        <v>170</v>
      </c>
      <c r="D230" s="27">
        <v>1899</v>
      </c>
      <c r="E230" s="27">
        <v>2</v>
      </c>
      <c r="F230" s="27">
        <v>4</v>
      </c>
      <c r="G230" s="27">
        <v>6.54</v>
      </c>
      <c r="H230" s="27">
        <v>26.16</v>
      </c>
      <c r="I230" s="30"/>
    </row>
    <row r="231" ht="22" customHeight="1" spans="1:13">
      <c r="A231" s="27" t="s">
        <v>178</v>
      </c>
      <c r="B231" s="27" t="s">
        <v>50</v>
      </c>
      <c r="C231" s="27" t="s">
        <v>170</v>
      </c>
      <c r="D231" s="27">
        <v>4157</v>
      </c>
      <c r="E231" s="27">
        <v>2</v>
      </c>
      <c r="F231" s="27">
        <v>2</v>
      </c>
      <c r="G231" s="27">
        <v>14.33</v>
      </c>
      <c r="H231" s="27">
        <v>28.66</v>
      </c>
      <c r="I231" s="28" t="s">
        <v>81</v>
      </c>
    </row>
    <row r="232" ht="22" customHeight="1" spans="1:13">
      <c r="A232" s="27" t="s">
        <v>179</v>
      </c>
      <c r="B232" s="27" t="s">
        <v>50</v>
      </c>
      <c r="C232" s="27" t="s">
        <v>170</v>
      </c>
      <c r="D232" s="27">
        <v>4157</v>
      </c>
      <c r="E232" s="27">
        <v>2</v>
      </c>
      <c r="F232" s="27">
        <v>2</v>
      </c>
      <c r="G232" s="27">
        <v>14.33</v>
      </c>
      <c r="H232" s="27">
        <v>28.66</v>
      </c>
      <c r="I232" s="29"/>
    </row>
    <row r="233" ht="22" customHeight="1" spans="1:13">
      <c r="A233" s="27" t="s">
        <v>180</v>
      </c>
      <c r="B233" s="27" t="s">
        <v>50</v>
      </c>
      <c r="C233" s="27" t="s">
        <v>170</v>
      </c>
      <c r="D233" s="27">
        <v>3170</v>
      </c>
      <c r="E233" s="27">
        <v>2</v>
      </c>
      <c r="F233" s="27">
        <v>2</v>
      </c>
      <c r="G233" s="27">
        <v>10.92</v>
      </c>
      <c r="H233" s="27">
        <v>21.84</v>
      </c>
      <c r="I233" s="29"/>
    </row>
    <row r="234" ht="22" customHeight="1" spans="1:13">
      <c r="A234" s="27" t="s">
        <v>181</v>
      </c>
      <c r="B234" s="27" t="s">
        <v>50</v>
      </c>
      <c r="C234" s="27" t="s">
        <v>170</v>
      </c>
      <c r="D234" s="27">
        <v>3170</v>
      </c>
      <c r="E234" s="27">
        <v>2</v>
      </c>
      <c r="F234" s="27">
        <v>2</v>
      </c>
      <c r="G234" s="27">
        <v>10.92</v>
      </c>
      <c r="H234" s="27">
        <v>21.84</v>
      </c>
      <c r="I234" s="29"/>
    </row>
    <row r="235" ht="22" customHeight="1" spans="1:13">
      <c r="A235" s="27">
        <v>1048</v>
      </c>
      <c r="B235" s="27" t="s">
        <v>50</v>
      </c>
      <c r="C235" s="27" t="s">
        <v>170</v>
      </c>
      <c r="D235" s="27">
        <v>2574</v>
      </c>
      <c r="E235" s="27">
        <v>2</v>
      </c>
      <c r="F235" s="27">
        <v>4</v>
      </c>
      <c r="G235" s="27">
        <v>8.87</v>
      </c>
      <c r="H235" s="27">
        <v>35.48</v>
      </c>
      <c r="I235" s="30"/>
    </row>
    <row r="236" ht="22" customHeight="1" spans="1:13">
      <c r="A236" s="27">
        <v>1611</v>
      </c>
      <c r="B236" s="27" t="s">
        <v>50</v>
      </c>
      <c r="C236" s="27" t="s">
        <v>170</v>
      </c>
      <c r="D236" s="27">
        <v>2283</v>
      </c>
      <c r="E236" s="27">
        <v>8</v>
      </c>
      <c r="F236" s="27">
        <v>8</v>
      </c>
      <c r="G236" s="27">
        <v>7.87</v>
      </c>
      <c r="H236" s="27">
        <v>62.96</v>
      </c>
      <c r="I236" s="28" t="s">
        <v>81</v>
      </c>
    </row>
    <row r="237" ht="22" customHeight="1" spans="1:13">
      <c r="A237" s="27">
        <v>1508</v>
      </c>
      <c r="B237" s="27" t="s">
        <v>50</v>
      </c>
      <c r="C237" s="27" t="s">
        <v>170</v>
      </c>
      <c r="D237" s="27">
        <v>1982</v>
      </c>
      <c r="E237" s="27">
        <v>8</v>
      </c>
      <c r="F237" s="27">
        <v>8</v>
      </c>
      <c r="G237" s="27">
        <v>6.83</v>
      </c>
      <c r="H237" s="27">
        <v>54.64</v>
      </c>
      <c r="I237" s="29"/>
    </row>
    <row r="238" ht="22" customHeight="1" spans="1:13">
      <c r="A238" s="27">
        <v>926</v>
      </c>
      <c r="B238" s="27" t="s">
        <v>50</v>
      </c>
      <c r="C238" s="27" t="s">
        <v>170</v>
      </c>
      <c r="D238" s="27">
        <v>1217</v>
      </c>
      <c r="E238" s="27">
        <v>2</v>
      </c>
      <c r="F238" s="27">
        <v>4</v>
      </c>
      <c r="G238" s="27">
        <v>4.19</v>
      </c>
      <c r="H238" s="27">
        <v>16.76</v>
      </c>
      <c r="I238" s="30"/>
    </row>
    <row r="239" ht="22" customHeight="1" spans="1:13">
      <c r="A239" s="27">
        <v>1512</v>
      </c>
      <c r="B239" s="27" t="s">
        <v>50</v>
      </c>
      <c r="C239" s="27" t="s">
        <v>170</v>
      </c>
      <c r="D239" s="27">
        <v>1926</v>
      </c>
      <c r="E239" s="27">
        <v>8</v>
      </c>
      <c r="F239" s="27">
        <v>8</v>
      </c>
      <c r="G239" s="27">
        <v>6.64</v>
      </c>
      <c r="H239" s="27">
        <v>53.12</v>
      </c>
      <c r="I239" s="31" t="s">
        <v>182</v>
      </c>
    </row>
    <row r="240" ht="22" customHeight="1" spans="1:13">
      <c r="A240" s="27">
        <v>932</v>
      </c>
      <c r="B240" s="27" t="s">
        <v>50</v>
      </c>
      <c r="C240" s="27" t="s">
        <v>170</v>
      </c>
      <c r="D240" s="27">
        <v>1201</v>
      </c>
      <c r="E240" s="27">
        <v>2</v>
      </c>
      <c r="F240" s="27">
        <v>4</v>
      </c>
      <c r="G240" s="27">
        <v>4.14</v>
      </c>
      <c r="H240" s="27">
        <v>16.56</v>
      </c>
      <c r="I240" s="28" t="s">
        <v>183</v>
      </c>
    </row>
    <row r="241" ht="22" customHeight="1" spans="1:244">
      <c r="A241" s="27" t="s">
        <v>184</v>
      </c>
      <c r="B241" s="27" t="s">
        <v>50</v>
      </c>
      <c r="C241" s="27" t="s">
        <v>170</v>
      </c>
      <c r="D241" s="27">
        <v>1201</v>
      </c>
      <c r="E241" s="27">
        <v>2</v>
      </c>
      <c r="F241" s="27">
        <v>4</v>
      </c>
      <c r="G241" s="27">
        <v>4.14</v>
      </c>
      <c r="H241" s="27">
        <v>16.56</v>
      </c>
      <c r="I241" s="29"/>
    </row>
    <row r="242" ht="22" customHeight="1" spans="1:244">
      <c r="A242" s="27">
        <v>1319</v>
      </c>
      <c r="B242" s="27" t="s">
        <v>50</v>
      </c>
      <c r="C242" s="27" t="s">
        <v>170</v>
      </c>
      <c r="D242" s="27">
        <v>2468</v>
      </c>
      <c r="E242" s="27">
        <v>2</v>
      </c>
      <c r="F242" s="27">
        <v>2</v>
      </c>
      <c r="G242" s="27">
        <v>8.51</v>
      </c>
      <c r="H242" s="27">
        <v>17.02</v>
      </c>
      <c r="I242" s="29"/>
    </row>
    <row r="243" ht="22" customHeight="1" spans="1:244">
      <c r="A243" s="27">
        <v>931</v>
      </c>
      <c r="B243" s="27" t="s">
        <v>50</v>
      </c>
      <c r="C243" s="27" t="s">
        <v>170</v>
      </c>
      <c r="D243" s="27">
        <v>985</v>
      </c>
      <c r="E243" s="27">
        <v>2</v>
      </c>
      <c r="F243" s="27">
        <v>4</v>
      </c>
      <c r="G243" s="27">
        <v>3.39</v>
      </c>
      <c r="H243" s="27">
        <v>13.56</v>
      </c>
      <c r="I243" s="29"/>
    </row>
    <row r="244" ht="22" customHeight="1" spans="1:244">
      <c r="A244" s="27">
        <v>933</v>
      </c>
      <c r="B244" s="27" t="s">
        <v>50</v>
      </c>
      <c r="C244" s="27" t="s">
        <v>170</v>
      </c>
      <c r="D244" s="27">
        <v>879</v>
      </c>
      <c r="E244" s="27">
        <v>2</v>
      </c>
      <c r="F244" s="27">
        <v>4</v>
      </c>
      <c r="G244" s="27">
        <v>3.03</v>
      </c>
      <c r="H244" s="27">
        <v>12.12</v>
      </c>
      <c r="I244" s="30"/>
    </row>
    <row r="245" ht="22" customHeight="1" spans="1:244">
      <c r="A245" s="27" t="s">
        <v>185</v>
      </c>
      <c r="B245" s="27" t="s">
        <v>50</v>
      </c>
      <c r="C245" s="27" t="s">
        <v>170</v>
      </c>
      <c r="D245" s="27">
        <v>4536</v>
      </c>
      <c r="E245" s="27">
        <v>2</v>
      </c>
      <c r="F245" s="27">
        <v>2</v>
      </c>
      <c r="G245" s="27">
        <v>15.63</v>
      </c>
      <c r="H245" s="27">
        <v>31.26</v>
      </c>
      <c r="I245" s="28" t="s">
        <v>186</v>
      </c>
    </row>
    <row r="246" ht="22" customHeight="1" spans="1:244">
      <c r="A246" s="27" t="s">
        <v>187</v>
      </c>
      <c r="B246" s="27" t="s">
        <v>50</v>
      </c>
      <c r="C246" s="27" t="s">
        <v>170</v>
      </c>
      <c r="D246" s="27">
        <v>4536</v>
      </c>
      <c r="E246" s="27">
        <v>2</v>
      </c>
      <c r="F246" s="27">
        <v>2</v>
      </c>
      <c r="G246" s="27">
        <v>15.63</v>
      </c>
      <c r="H246" s="27">
        <v>31.26</v>
      </c>
      <c r="I246" s="29"/>
    </row>
    <row r="247" ht="22" customHeight="1" spans="1:244">
      <c r="A247" s="27">
        <v>1617</v>
      </c>
      <c r="B247" s="27" t="s">
        <v>50</v>
      </c>
      <c r="C247" s="27" t="s">
        <v>170</v>
      </c>
      <c r="D247" s="27">
        <v>3342</v>
      </c>
      <c r="E247" s="27">
        <v>2</v>
      </c>
      <c r="F247" s="27">
        <v>2</v>
      </c>
      <c r="G247" s="27">
        <v>11.52</v>
      </c>
      <c r="H247" s="27">
        <v>23.04</v>
      </c>
      <c r="I247" s="29"/>
    </row>
    <row r="248" ht="22" customHeight="1" spans="1:244">
      <c r="A248" s="27">
        <v>1618</v>
      </c>
      <c r="B248" s="27" t="s">
        <v>50</v>
      </c>
      <c r="C248" s="27" t="s">
        <v>170</v>
      </c>
      <c r="D248" s="27">
        <v>3342</v>
      </c>
      <c r="E248" s="27">
        <v>2</v>
      </c>
      <c r="F248" s="27">
        <v>2</v>
      </c>
      <c r="G248" s="27">
        <v>11.52</v>
      </c>
      <c r="H248" s="27">
        <v>23.04</v>
      </c>
      <c r="I248" s="30"/>
    </row>
    <row r="249" ht="22" customHeight="1" spans="1:244">
      <c r="A249" s="27" t="s">
        <v>188</v>
      </c>
      <c r="B249" s="27" t="s">
        <v>50</v>
      </c>
      <c r="C249" s="27" t="s">
        <v>170</v>
      </c>
      <c r="D249" s="27">
        <v>1075</v>
      </c>
      <c r="E249" s="27">
        <v>6</v>
      </c>
      <c r="F249" s="27">
        <v>6</v>
      </c>
      <c r="G249" s="27">
        <v>3.7</v>
      </c>
      <c r="H249" s="27">
        <v>22.2</v>
      </c>
      <c r="I249" s="28" t="s">
        <v>81</v>
      </c>
    </row>
    <row r="250" ht="22" customHeight="1" spans="1:244">
      <c r="A250" s="27" t="s">
        <v>189</v>
      </c>
      <c r="B250" s="27" t="s">
        <v>50</v>
      </c>
      <c r="C250" s="27" t="s">
        <v>170</v>
      </c>
      <c r="D250" s="27">
        <v>1075</v>
      </c>
      <c r="E250" s="27">
        <v>6</v>
      </c>
      <c r="F250" s="27">
        <v>6</v>
      </c>
      <c r="G250" s="27">
        <v>3.7</v>
      </c>
      <c r="H250" s="27">
        <v>22.2</v>
      </c>
      <c r="I250" s="29"/>
    </row>
    <row r="251" ht="22" customHeight="1" spans="1:244">
      <c r="A251" s="27" t="s">
        <v>190</v>
      </c>
      <c r="B251" s="27" t="s">
        <v>50</v>
      </c>
      <c r="C251" s="27" t="s">
        <v>170</v>
      </c>
      <c r="D251" s="27">
        <v>816</v>
      </c>
      <c r="E251" s="27">
        <v>12</v>
      </c>
      <c r="F251" s="27">
        <v>12</v>
      </c>
      <c r="G251" s="27">
        <v>2.81</v>
      </c>
      <c r="H251" s="27">
        <v>33.72</v>
      </c>
      <c r="I251" s="29"/>
    </row>
    <row r="252" ht="22" customHeight="1" spans="1:244">
      <c r="A252" s="27" t="s">
        <v>191</v>
      </c>
      <c r="B252" s="27" t="s">
        <v>50</v>
      </c>
      <c r="C252" s="27" t="s">
        <v>170</v>
      </c>
      <c r="D252" s="27">
        <v>400</v>
      </c>
      <c r="E252" s="27">
        <v>42</v>
      </c>
      <c r="F252" s="27">
        <v>42</v>
      </c>
      <c r="G252" s="27">
        <v>1.38</v>
      </c>
      <c r="H252" s="27">
        <v>57.96</v>
      </c>
      <c r="I252" s="30"/>
    </row>
    <row r="253" ht="22" customHeight="1" spans="1:244">
      <c r="A253" s="27"/>
      <c r="B253" s="27"/>
      <c r="C253" s="31"/>
      <c r="D253" s="27"/>
      <c r="E253" s="27"/>
      <c r="F253" s="27"/>
      <c r="G253" s="27"/>
      <c r="H253" s="31">
        <f>SUM(H221:H252)</f>
        <v>904.38</v>
      </c>
      <c r="I253" s="31"/>
    </row>
    <row r="254" customFormat="1" ht="22" customHeight="1" spans="1:244">
      <c r="A254" s="32"/>
      <c r="B254" s="33" t="s">
        <v>50</v>
      </c>
      <c r="C254" s="33" t="s">
        <v>192</v>
      </c>
      <c r="D254" s="33"/>
      <c r="E254" s="33"/>
      <c r="F254" s="33"/>
      <c r="G254" s="33"/>
      <c r="H254" s="34">
        <v>537.88</v>
      </c>
      <c r="I254" s="31" t="s">
        <v>193</v>
      </c>
      <c r="J254" s="35">
        <v>235</v>
      </c>
      <c r="K254" s="35" t="s">
        <v>194</v>
      </c>
      <c r="L254" s="8">
        <v>15</v>
      </c>
      <c r="M254" s="5"/>
      <c r="N254" s="5">
        <v>3.77</v>
      </c>
      <c r="O254" s="5">
        <f t="shared" ref="O254:O258" si="0">H254/0.98/N254/10</f>
        <v>14.5585449033725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  <c r="AX254" s="5"/>
      <c r="AY254" s="5"/>
      <c r="AZ254" s="5"/>
      <c r="BA254" s="5"/>
      <c r="BB254" s="5"/>
      <c r="BC254" s="5"/>
      <c r="BD254" s="5"/>
      <c r="BE254" s="5"/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W254" s="5"/>
      <c r="BX254" s="5"/>
      <c r="BY254" s="5"/>
      <c r="BZ254" s="5"/>
      <c r="CA254" s="5"/>
      <c r="CB254" s="5"/>
      <c r="CC254" s="5"/>
      <c r="CD254" s="5"/>
      <c r="CE254" s="5"/>
      <c r="CF254" s="5"/>
      <c r="CG254" s="5"/>
      <c r="CH254" s="5"/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5"/>
      <c r="CY254" s="5"/>
      <c r="CZ254" s="5"/>
      <c r="DA254" s="5"/>
      <c r="DB254" s="5"/>
      <c r="DC254" s="5"/>
      <c r="DD254" s="5"/>
      <c r="DE254" s="5"/>
      <c r="DF254" s="5"/>
      <c r="DG254" s="5"/>
      <c r="DH254" s="5"/>
      <c r="DI254" s="5"/>
      <c r="DJ254" s="5"/>
      <c r="DK254" s="5"/>
      <c r="DL254" s="5"/>
      <c r="DM254" s="5"/>
      <c r="DN254" s="5"/>
      <c r="DO254" s="5"/>
      <c r="DP254" s="5"/>
      <c r="DQ254" s="5"/>
      <c r="DR254" s="5"/>
      <c r="DS254" s="5"/>
      <c r="DT254" s="5"/>
      <c r="DU254" s="5"/>
      <c r="DV254" s="5"/>
      <c r="DW254" s="5"/>
      <c r="DX254" s="5"/>
      <c r="DY254" s="5"/>
      <c r="DZ254" s="5"/>
      <c r="EA254" s="5"/>
      <c r="EB254" s="5"/>
      <c r="EC254" s="5"/>
      <c r="ED254" s="5"/>
      <c r="EE254" s="5"/>
      <c r="EF254" s="5"/>
      <c r="EG254" s="5"/>
      <c r="EH254" s="5"/>
      <c r="EI254" s="5"/>
      <c r="EJ254" s="5"/>
      <c r="EK254" s="5"/>
      <c r="EL254" s="5"/>
      <c r="EM254" s="5"/>
      <c r="EN254" s="5"/>
      <c r="EO254" s="5"/>
      <c r="EP254" s="5"/>
      <c r="EQ254" s="5"/>
      <c r="ER254" s="5"/>
      <c r="ES254" s="5"/>
      <c r="ET254" s="5"/>
      <c r="EU254" s="5"/>
      <c r="EV254" s="5"/>
      <c r="EW254" s="5"/>
      <c r="EX254" s="5"/>
      <c r="EY254" s="5"/>
      <c r="EZ254" s="5"/>
      <c r="FA254" s="5"/>
      <c r="FB254" s="5"/>
      <c r="FC254" s="5"/>
      <c r="FD254" s="5"/>
      <c r="FE254" s="5"/>
      <c r="FF254" s="5"/>
      <c r="FG254" s="5"/>
      <c r="FH254" s="5"/>
      <c r="FI254" s="5"/>
      <c r="FJ254" s="5"/>
      <c r="FK254" s="5"/>
      <c r="FL254" s="5"/>
      <c r="FM254" s="5"/>
      <c r="FN254" s="5"/>
      <c r="FO254" s="5"/>
      <c r="FP254" s="5"/>
      <c r="FQ254" s="5"/>
      <c r="FR254" s="5"/>
      <c r="FS254" s="5"/>
      <c r="FT254" s="5"/>
      <c r="FU254" s="5"/>
      <c r="FV254" s="5"/>
      <c r="FW254" s="5"/>
      <c r="FX254" s="5"/>
      <c r="FY254" s="5"/>
      <c r="FZ254" s="5"/>
      <c r="GA254" s="5"/>
      <c r="GB254" s="5"/>
      <c r="GC254" s="5"/>
      <c r="GD254" s="5"/>
      <c r="GE254" s="5"/>
      <c r="GF254" s="5"/>
      <c r="GG254" s="5"/>
      <c r="GH254" s="5"/>
      <c r="GI254" s="5"/>
      <c r="GJ254" s="5"/>
      <c r="GK254" s="5"/>
      <c r="GL254" s="5"/>
      <c r="GM254" s="5"/>
      <c r="GN254" s="5"/>
      <c r="GO254" s="5"/>
      <c r="GP254" s="5"/>
      <c r="GQ254" s="5"/>
      <c r="GR254" s="5"/>
      <c r="GS254" s="5"/>
      <c r="GT254" s="5"/>
      <c r="GU254" s="5"/>
      <c r="GV254" s="5"/>
      <c r="GW254" s="5"/>
      <c r="GX254" s="5"/>
      <c r="GY254" s="5"/>
      <c r="GZ254" s="5"/>
      <c r="HA254" s="5"/>
      <c r="HB254" s="5"/>
      <c r="HC254" s="5"/>
      <c r="HD254" s="5"/>
      <c r="HE254" s="5"/>
      <c r="HF254" s="5"/>
      <c r="HG254" s="5"/>
      <c r="HH254" s="5"/>
      <c r="HI254" s="5"/>
      <c r="HJ254" s="5"/>
      <c r="HK254" s="5"/>
      <c r="HL254" s="5"/>
      <c r="HM254" s="5"/>
      <c r="HN254" s="5"/>
      <c r="HO254" s="5"/>
      <c r="HP254" s="5"/>
      <c r="HQ254" s="5"/>
      <c r="HR254" s="5"/>
      <c r="HS254" s="5"/>
      <c r="HT254" s="5"/>
      <c r="HU254" s="5"/>
      <c r="HV254" s="5"/>
      <c r="HW254" s="5"/>
      <c r="HX254" s="5"/>
      <c r="HY254" s="5"/>
      <c r="HZ254" s="5"/>
      <c r="IA254" s="5"/>
      <c r="IB254" s="5"/>
      <c r="IC254" s="5"/>
      <c r="ID254" s="5"/>
      <c r="IE254" s="5"/>
      <c r="IF254" s="5"/>
      <c r="IG254" s="5"/>
      <c r="IH254" s="5"/>
      <c r="II254" s="5"/>
      <c r="IJ254" s="5"/>
    </row>
    <row r="255" customFormat="1" ht="22" customHeight="1" spans="1:244">
      <c r="A255" s="32"/>
      <c r="B255" s="33" t="s">
        <v>50</v>
      </c>
      <c r="C255" s="33" t="s">
        <v>195</v>
      </c>
      <c r="D255" s="33"/>
      <c r="E255" s="33"/>
      <c r="F255" s="33"/>
      <c r="G255" s="33"/>
      <c r="H255" s="34">
        <v>268.36</v>
      </c>
      <c r="I255" s="31" t="s">
        <v>196</v>
      </c>
      <c r="J255" s="35">
        <v>235</v>
      </c>
      <c r="K255" s="35" t="s">
        <v>197</v>
      </c>
      <c r="L255" s="8">
        <v>9</v>
      </c>
      <c r="M255" s="5"/>
      <c r="N255" s="5">
        <v>3.059</v>
      </c>
      <c r="O255" s="5">
        <f t="shared" si="0"/>
        <v>8.95183833585739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5"/>
      <c r="AY255" s="5"/>
      <c r="AZ255" s="5"/>
      <c r="BA255" s="5"/>
      <c r="BB255" s="5"/>
      <c r="BC255" s="5"/>
      <c r="BD255" s="5"/>
      <c r="BE255" s="5"/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W255" s="5"/>
      <c r="BX255" s="5"/>
      <c r="BY255" s="5"/>
      <c r="BZ255" s="5"/>
      <c r="CA255" s="5"/>
      <c r="CB255" s="5"/>
      <c r="CC255" s="5"/>
      <c r="CD255" s="5"/>
      <c r="CE255" s="5"/>
      <c r="CF255" s="5"/>
      <c r="CG255" s="5"/>
      <c r="CH255" s="5"/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5"/>
      <c r="DB255" s="5"/>
      <c r="DC255" s="5"/>
      <c r="DD255" s="5"/>
      <c r="DE255" s="5"/>
      <c r="DF255" s="5"/>
      <c r="DG255" s="5"/>
      <c r="DH255" s="5"/>
      <c r="DI255" s="5"/>
      <c r="DJ255" s="5"/>
      <c r="DK255" s="5"/>
      <c r="DL255" s="5"/>
      <c r="DM255" s="5"/>
      <c r="DN255" s="5"/>
      <c r="DO255" s="5"/>
      <c r="DP255" s="5"/>
      <c r="DQ255" s="5"/>
      <c r="DR255" s="5"/>
      <c r="DS255" s="5"/>
      <c r="DT255" s="5"/>
      <c r="DU255" s="5"/>
      <c r="DV255" s="5"/>
      <c r="DW255" s="5"/>
      <c r="DX255" s="5"/>
      <c r="DY255" s="5"/>
      <c r="DZ255" s="5"/>
      <c r="EA255" s="5"/>
      <c r="EB255" s="5"/>
      <c r="EC255" s="5"/>
      <c r="ED255" s="5"/>
      <c r="EE255" s="5"/>
      <c r="EF255" s="5"/>
      <c r="EG255" s="5"/>
      <c r="EH255" s="5"/>
      <c r="EI255" s="5"/>
      <c r="EJ255" s="5"/>
      <c r="EK255" s="5"/>
      <c r="EL255" s="5"/>
      <c r="EM255" s="5"/>
      <c r="EN255" s="5"/>
      <c r="EO255" s="5"/>
      <c r="EP255" s="5"/>
      <c r="EQ255" s="5"/>
      <c r="ER255" s="5"/>
      <c r="ES255" s="5"/>
      <c r="ET255" s="5"/>
      <c r="EU255" s="5"/>
      <c r="EV255" s="5"/>
      <c r="EW255" s="5"/>
      <c r="EX255" s="5"/>
      <c r="EY255" s="5"/>
      <c r="EZ255" s="5"/>
      <c r="FA255" s="5"/>
      <c r="FB255" s="5"/>
      <c r="FC255" s="5"/>
      <c r="FD255" s="5"/>
      <c r="FE255" s="5"/>
      <c r="FF255" s="5"/>
      <c r="FG255" s="5"/>
      <c r="FH255" s="5"/>
      <c r="FI255" s="5"/>
      <c r="FJ255" s="5"/>
      <c r="FK255" s="5"/>
      <c r="FL255" s="5"/>
      <c r="FM255" s="5"/>
      <c r="FN255" s="5"/>
      <c r="FO255" s="5"/>
      <c r="FP255" s="5"/>
      <c r="FQ255" s="5"/>
      <c r="FR255" s="5"/>
      <c r="FS255" s="5"/>
      <c r="FT255" s="5"/>
      <c r="FU255" s="5"/>
      <c r="FV255" s="5"/>
      <c r="FW255" s="5"/>
      <c r="FX255" s="5"/>
      <c r="FY255" s="5"/>
      <c r="FZ255" s="5"/>
      <c r="GA255" s="5"/>
      <c r="GB255" s="5"/>
      <c r="GC255" s="5"/>
      <c r="GD255" s="5"/>
      <c r="GE255" s="5"/>
      <c r="GF255" s="5"/>
      <c r="GG255" s="5"/>
      <c r="GH255" s="5"/>
      <c r="GI255" s="5"/>
      <c r="GJ255" s="5"/>
      <c r="GK255" s="5"/>
      <c r="GL255" s="5"/>
      <c r="GM255" s="5"/>
      <c r="GN255" s="5"/>
      <c r="GO255" s="5"/>
      <c r="GP255" s="5"/>
      <c r="GQ255" s="5"/>
      <c r="GR255" s="5"/>
      <c r="GS255" s="5"/>
      <c r="GT255" s="5"/>
      <c r="GU255" s="5"/>
      <c r="GV255" s="5"/>
      <c r="GW255" s="5"/>
      <c r="GX255" s="5"/>
      <c r="GY255" s="5"/>
      <c r="GZ255" s="5"/>
      <c r="HA255" s="5"/>
      <c r="HB255" s="5"/>
      <c r="HC255" s="5"/>
      <c r="HD255" s="5"/>
      <c r="HE255" s="5"/>
      <c r="HF255" s="5"/>
      <c r="HG255" s="5"/>
      <c r="HH255" s="5"/>
      <c r="HI255" s="5"/>
      <c r="HJ255" s="5"/>
      <c r="HK255" s="5"/>
      <c r="HL255" s="5"/>
      <c r="HM255" s="5"/>
      <c r="HN255" s="5"/>
      <c r="HO255" s="5"/>
      <c r="HP255" s="5"/>
      <c r="HQ255" s="5"/>
      <c r="HR255" s="5"/>
      <c r="HS255" s="5"/>
      <c r="HT255" s="5"/>
      <c r="HU255" s="5"/>
      <c r="HV255" s="5"/>
      <c r="HW255" s="5"/>
      <c r="HX255" s="5"/>
      <c r="HY255" s="5"/>
      <c r="HZ255" s="5"/>
      <c r="IA255" s="5"/>
      <c r="IB255" s="5"/>
      <c r="IC255" s="5"/>
      <c r="ID255" s="5"/>
      <c r="IE255" s="5"/>
      <c r="IF255" s="5"/>
      <c r="IG255" s="5"/>
      <c r="IH255" s="5"/>
      <c r="II255" s="5"/>
      <c r="IJ255" s="5"/>
    </row>
    <row r="256" customFormat="1" ht="22" customHeight="1" spans="1:244">
      <c r="A256" s="32"/>
      <c r="B256" s="33" t="s">
        <v>50</v>
      </c>
      <c r="C256" s="33" t="s">
        <v>198</v>
      </c>
      <c r="D256" s="33"/>
      <c r="E256" s="33"/>
      <c r="F256" s="33"/>
      <c r="G256" s="33"/>
      <c r="H256" s="34">
        <v>867.08</v>
      </c>
      <c r="I256" s="31" t="s">
        <v>199</v>
      </c>
      <c r="J256" s="35">
        <v>235</v>
      </c>
      <c r="K256" s="35" t="s">
        <v>200</v>
      </c>
      <c r="L256" s="8">
        <v>32</v>
      </c>
      <c r="M256" s="5"/>
      <c r="N256" s="5">
        <v>2.736</v>
      </c>
      <c r="O256" s="5">
        <f t="shared" si="0"/>
        <v>32.3382861916696</v>
      </c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W256" s="5"/>
      <c r="BX256" s="5"/>
      <c r="BY256" s="5"/>
      <c r="BZ256" s="5"/>
      <c r="CA256" s="5"/>
      <c r="CB256" s="5"/>
      <c r="CC256" s="5"/>
      <c r="CD256" s="5"/>
      <c r="CE256" s="5"/>
      <c r="CF256" s="5"/>
      <c r="CG256" s="5"/>
      <c r="CH256" s="5"/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5"/>
      <c r="CY256" s="5"/>
      <c r="CZ256" s="5"/>
      <c r="DA256" s="5"/>
      <c r="DB256" s="5"/>
      <c r="DC256" s="5"/>
      <c r="DD256" s="5"/>
      <c r="DE256" s="5"/>
      <c r="DF256" s="5"/>
      <c r="DG256" s="5"/>
      <c r="DH256" s="5"/>
      <c r="DI256" s="5"/>
      <c r="DJ256" s="5"/>
      <c r="DK256" s="5"/>
      <c r="DL256" s="5"/>
      <c r="DM256" s="5"/>
      <c r="DN256" s="5"/>
      <c r="DO256" s="5"/>
      <c r="DP256" s="5"/>
      <c r="DQ256" s="5"/>
      <c r="DR256" s="5"/>
      <c r="DS256" s="5"/>
      <c r="DT256" s="5"/>
      <c r="DU256" s="5"/>
      <c r="DV256" s="5"/>
      <c r="DW256" s="5"/>
      <c r="DX256" s="5"/>
      <c r="DY256" s="5"/>
      <c r="DZ256" s="5"/>
      <c r="EA256" s="5"/>
      <c r="EB256" s="5"/>
      <c r="EC256" s="5"/>
      <c r="ED256" s="5"/>
      <c r="EE256" s="5"/>
      <c r="EF256" s="5"/>
      <c r="EG256" s="5"/>
      <c r="EH256" s="5"/>
      <c r="EI256" s="5"/>
      <c r="EJ256" s="5"/>
      <c r="EK256" s="5"/>
      <c r="EL256" s="5"/>
      <c r="EM256" s="5"/>
      <c r="EN256" s="5"/>
      <c r="EO256" s="5"/>
      <c r="EP256" s="5"/>
      <c r="EQ256" s="5"/>
      <c r="ER256" s="5"/>
      <c r="ES256" s="5"/>
      <c r="ET256" s="5"/>
      <c r="EU256" s="5"/>
      <c r="EV256" s="5"/>
      <c r="EW256" s="5"/>
      <c r="EX256" s="5"/>
      <c r="EY256" s="5"/>
      <c r="EZ256" s="5"/>
      <c r="FA256" s="5"/>
      <c r="FB256" s="5"/>
      <c r="FC256" s="5"/>
      <c r="FD256" s="5"/>
      <c r="FE256" s="5"/>
      <c r="FF256" s="5"/>
      <c r="FG256" s="5"/>
      <c r="FH256" s="5"/>
      <c r="FI256" s="5"/>
      <c r="FJ256" s="5"/>
      <c r="FK256" s="5"/>
      <c r="FL256" s="5"/>
      <c r="FM256" s="5"/>
      <c r="FN256" s="5"/>
      <c r="FO256" s="5"/>
      <c r="FP256" s="5"/>
      <c r="FQ256" s="5"/>
      <c r="FR256" s="5"/>
      <c r="FS256" s="5"/>
      <c r="FT256" s="5"/>
      <c r="FU256" s="5"/>
      <c r="FV256" s="5"/>
      <c r="FW256" s="5"/>
      <c r="FX256" s="5"/>
      <c r="FY256" s="5"/>
      <c r="FZ256" s="5"/>
      <c r="GA256" s="5"/>
      <c r="GB256" s="5"/>
      <c r="GC256" s="5"/>
      <c r="GD256" s="5"/>
      <c r="GE256" s="5"/>
      <c r="GF256" s="5"/>
      <c r="GG256" s="5"/>
      <c r="GH256" s="5"/>
      <c r="GI256" s="5"/>
      <c r="GJ256" s="5"/>
      <c r="GK256" s="5"/>
      <c r="GL256" s="5"/>
      <c r="GM256" s="5"/>
      <c r="GN256" s="5"/>
      <c r="GO256" s="5"/>
      <c r="GP256" s="5"/>
      <c r="GQ256" s="5"/>
      <c r="GR256" s="5"/>
      <c r="GS256" s="5"/>
      <c r="GT256" s="5"/>
      <c r="GU256" s="5"/>
      <c r="GV256" s="5"/>
      <c r="GW256" s="5"/>
      <c r="GX256" s="5"/>
      <c r="GY256" s="5"/>
      <c r="GZ256" s="5"/>
      <c r="HA256" s="5"/>
      <c r="HB256" s="5"/>
      <c r="HC256" s="5"/>
      <c r="HD256" s="5"/>
      <c r="HE256" s="5"/>
      <c r="HF256" s="5"/>
      <c r="HG256" s="5"/>
      <c r="HH256" s="5"/>
      <c r="HI256" s="5"/>
      <c r="HJ256" s="5"/>
      <c r="HK256" s="5"/>
      <c r="HL256" s="5"/>
      <c r="HM256" s="5"/>
      <c r="HN256" s="5"/>
      <c r="HO256" s="5"/>
      <c r="HP256" s="5"/>
      <c r="HQ256" s="5"/>
      <c r="HR256" s="5"/>
      <c r="HS256" s="5"/>
      <c r="HT256" s="5"/>
      <c r="HU256" s="5"/>
      <c r="HV256" s="5"/>
      <c r="HW256" s="5"/>
      <c r="HX256" s="5"/>
      <c r="HY256" s="5"/>
      <c r="HZ256" s="5"/>
      <c r="IA256" s="5"/>
      <c r="IB256" s="5"/>
      <c r="IC256" s="5"/>
      <c r="ID256" s="5"/>
      <c r="IE256" s="5"/>
      <c r="IF256" s="5"/>
      <c r="IG256" s="5"/>
      <c r="IH256" s="5"/>
      <c r="II256" s="5"/>
      <c r="IJ256" s="5"/>
    </row>
    <row r="257" customFormat="1" ht="22" customHeight="1" spans="1:244">
      <c r="A257" s="32"/>
      <c r="B257" s="33" t="s">
        <v>50</v>
      </c>
      <c r="C257" s="33" t="s">
        <v>201</v>
      </c>
      <c r="D257" s="33"/>
      <c r="E257" s="33"/>
      <c r="F257" s="33"/>
      <c r="G257" s="33"/>
      <c r="H257" s="31">
        <v>457.96</v>
      </c>
      <c r="I257" s="31" t="s">
        <v>202</v>
      </c>
      <c r="J257" s="35">
        <v>235</v>
      </c>
      <c r="K257" s="35" t="s">
        <v>203</v>
      </c>
      <c r="L257" s="8">
        <v>19</v>
      </c>
      <c r="M257" s="5"/>
      <c r="N257" s="5">
        <v>2.422</v>
      </c>
      <c r="O257" s="5">
        <f t="shared" si="0"/>
        <v>19.2942247088761</v>
      </c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W257" s="5"/>
      <c r="BX257" s="5"/>
      <c r="BY257" s="5"/>
      <c r="BZ257" s="5"/>
      <c r="CA257" s="5"/>
      <c r="CB257" s="5"/>
      <c r="CC257" s="5"/>
      <c r="CD257" s="5"/>
      <c r="CE257" s="5"/>
      <c r="CF257" s="5"/>
      <c r="CG257" s="5"/>
      <c r="CH257" s="5"/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5"/>
      <c r="DE257" s="5"/>
      <c r="DF257" s="5"/>
      <c r="DG257" s="5"/>
      <c r="DH257" s="5"/>
      <c r="DI257" s="5"/>
      <c r="DJ257" s="5"/>
      <c r="DK257" s="5"/>
      <c r="DL257" s="5"/>
      <c r="DM257" s="5"/>
      <c r="DN257" s="5"/>
      <c r="DO257" s="5"/>
      <c r="DP257" s="5"/>
      <c r="DQ257" s="5"/>
      <c r="DR257" s="5"/>
      <c r="DS257" s="5"/>
      <c r="DT257" s="5"/>
      <c r="DU257" s="5"/>
      <c r="DV257" s="5"/>
      <c r="DW257" s="5"/>
      <c r="DX257" s="5"/>
      <c r="DY257" s="5"/>
      <c r="DZ257" s="5"/>
      <c r="EA257" s="5"/>
      <c r="EB257" s="5"/>
      <c r="EC257" s="5"/>
      <c r="ED257" s="5"/>
      <c r="EE257" s="5"/>
      <c r="EF257" s="5"/>
      <c r="EG257" s="5"/>
      <c r="EH257" s="5"/>
      <c r="EI257" s="5"/>
      <c r="EJ257" s="5"/>
      <c r="EK257" s="5"/>
      <c r="EL257" s="5"/>
      <c r="EM257" s="5"/>
      <c r="EN257" s="5"/>
      <c r="EO257" s="5"/>
      <c r="EP257" s="5"/>
      <c r="EQ257" s="5"/>
      <c r="ER257" s="5"/>
      <c r="ES257" s="5"/>
      <c r="ET257" s="5"/>
      <c r="EU257" s="5"/>
      <c r="EV257" s="5"/>
      <c r="EW257" s="5"/>
      <c r="EX257" s="5"/>
      <c r="EY257" s="5"/>
      <c r="EZ257" s="5"/>
      <c r="FA257" s="5"/>
      <c r="FB257" s="5"/>
      <c r="FC257" s="5"/>
      <c r="FD257" s="5"/>
      <c r="FE257" s="5"/>
      <c r="FF257" s="5"/>
      <c r="FG257" s="5"/>
      <c r="FH257" s="5"/>
      <c r="FI257" s="5"/>
      <c r="FJ257" s="5"/>
      <c r="FK257" s="5"/>
      <c r="FL257" s="5"/>
      <c r="FM257" s="5"/>
      <c r="FN257" s="5"/>
      <c r="FO257" s="5"/>
      <c r="FP257" s="5"/>
      <c r="FQ257" s="5"/>
      <c r="FR257" s="5"/>
      <c r="FS257" s="5"/>
      <c r="FT257" s="5"/>
      <c r="FU257" s="5"/>
      <c r="FV257" s="5"/>
      <c r="FW257" s="5"/>
      <c r="FX257" s="5"/>
      <c r="FY257" s="5"/>
      <c r="FZ257" s="5"/>
      <c r="GA257" s="5"/>
      <c r="GB257" s="5"/>
      <c r="GC257" s="5"/>
      <c r="GD257" s="5"/>
      <c r="GE257" s="5"/>
      <c r="GF257" s="5"/>
      <c r="GG257" s="5"/>
      <c r="GH257" s="5"/>
      <c r="GI257" s="5"/>
      <c r="GJ257" s="5"/>
      <c r="GK257" s="5"/>
      <c r="GL257" s="5"/>
      <c r="GM257" s="5"/>
      <c r="GN257" s="5"/>
      <c r="GO257" s="5"/>
      <c r="GP257" s="5"/>
      <c r="GQ257" s="5"/>
      <c r="GR257" s="5"/>
      <c r="GS257" s="5"/>
      <c r="GT257" s="5"/>
      <c r="GU257" s="5"/>
      <c r="GV257" s="5"/>
      <c r="GW257" s="5"/>
      <c r="GX257" s="5"/>
      <c r="GY257" s="5"/>
      <c r="GZ257" s="5"/>
      <c r="HA257" s="5"/>
      <c r="HB257" s="5"/>
      <c r="HC257" s="5"/>
      <c r="HD257" s="5"/>
      <c r="HE257" s="5"/>
      <c r="HF257" s="5"/>
      <c r="HG257" s="5"/>
      <c r="HH257" s="5"/>
      <c r="HI257" s="5"/>
      <c r="HJ257" s="5"/>
      <c r="HK257" s="5"/>
      <c r="HL257" s="5"/>
      <c r="HM257" s="5"/>
      <c r="HN257" s="5"/>
      <c r="HO257" s="5"/>
      <c r="HP257" s="5"/>
      <c r="HQ257" s="5"/>
      <c r="HR257" s="5"/>
      <c r="HS257" s="5"/>
      <c r="HT257" s="5"/>
      <c r="HU257" s="5"/>
      <c r="HV257" s="5"/>
      <c r="HW257" s="5"/>
      <c r="HX257" s="5"/>
      <c r="HY257" s="5"/>
      <c r="HZ257" s="5"/>
      <c r="IA257" s="5"/>
      <c r="IB257" s="5"/>
      <c r="IC257" s="5"/>
      <c r="ID257" s="5"/>
      <c r="IE257" s="5"/>
      <c r="IF257" s="5"/>
      <c r="IG257" s="5"/>
      <c r="IH257" s="5"/>
      <c r="II257" s="5"/>
      <c r="IJ257" s="5"/>
    </row>
    <row r="258" customFormat="1" ht="22" customHeight="1" spans="1:244">
      <c r="A258" s="32"/>
      <c r="B258" s="33" t="s">
        <v>50</v>
      </c>
      <c r="C258" s="33" t="s">
        <v>204</v>
      </c>
      <c r="D258" s="33"/>
      <c r="E258" s="33"/>
      <c r="F258" s="33"/>
      <c r="G258" s="33"/>
      <c r="H258" s="31">
        <v>549.36</v>
      </c>
      <c r="I258" s="31" t="s">
        <v>205</v>
      </c>
      <c r="J258" s="35">
        <v>235</v>
      </c>
      <c r="K258" s="35" t="s">
        <v>206</v>
      </c>
      <c r="L258" s="8">
        <v>30</v>
      </c>
      <c r="M258" s="5"/>
      <c r="N258" s="5">
        <v>1.852</v>
      </c>
      <c r="O258" s="5">
        <f t="shared" si="0"/>
        <v>30.2684356680037</v>
      </c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5"/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W258" s="5"/>
      <c r="BX258" s="5"/>
      <c r="BY258" s="5"/>
      <c r="BZ258" s="5"/>
      <c r="CA258" s="5"/>
      <c r="CB258" s="5"/>
      <c r="CC258" s="5"/>
      <c r="CD258" s="5"/>
      <c r="CE258" s="5"/>
      <c r="CF258" s="5"/>
      <c r="CG258" s="5"/>
      <c r="CH258" s="5"/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5"/>
      <c r="DB258" s="5"/>
      <c r="DC258" s="5"/>
      <c r="DD258" s="5"/>
      <c r="DE258" s="5"/>
      <c r="DF258" s="5"/>
      <c r="DG258" s="5"/>
      <c r="DH258" s="5"/>
      <c r="DI258" s="5"/>
      <c r="DJ258" s="5"/>
      <c r="DK258" s="5"/>
      <c r="DL258" s="5"/>
      <c r="DM258" s="5"/>
      <c r="DN258" s="5"/>
      <c r="DO258" s="5"/>
      <c r="DP258" s="5"/>
      <c r="DQ258" s="5"/>
      <c r="DR258" s="5"/>
      <c r="DS258" s="5"/>
      <c r="DT258" s="5"/>
      <c r="DU258" s="5"/>
      <c r="DV258" s="5"/>
      <c r="DW258" s="5"/>
      <c r="DX258" s="5"/>
      <c r="DY258" s="5"/>
      <c r="DZ258" s="5"/>
      <c r="EA258" s="5"/>
      <c r="EB258" s="5"/>
      <c r="EC258" s="5"/>
      <c r="ED258" s="5"/>
      <c r="EE258" s="5"/>
      <c r="EF258" s="5"/>
      <c r="EG258" s="5"/>
      <c r="EH258" s="5"/>
      <c r="EI258" s="5"/>
      <c r="EJ258" s="5"/>
      <c r="EK258" s="5"/>
      <c r="EL258" s="5"/>
      <c r="EM258" s="5"/>
      <c r="EN258" s="5"/>
      <c r="EO258" s="5"/>
      <c r="EP258" s="5"/>
      <c r="EQ258" s="5"/>
      <c r="ER258" s="5"/>
      <c r="ES258" s="5"/>
      <c r="ET258" s="5"/>
      <c r="EU258" s="5"/>
      <c r="EV258" s="5"/>
      <c r="EW258" s="5"/>
      <c r="EX258" s="5"/>
      <c r="EY258" s="5"/>
      <c r="EZ258" s="5"/>
      <c r="FA258" s="5"/>
      <c r="FB258" s="5"/>
      <c r="FC258" s="5"/>
      <c r="FD258" s="5"/>
      <c r="FE258" s="5"/>
      <c r="FF258" s="5"/>
      <c r="FG258" s="5"/>
      <c r="FH258" s="5"/>
      <c r="FI258" s="5"/>
      <c r="FJ258" s="5"/>
      <c r="FK258" s="5"/>
      <c r="FL258" s="5"/>
      <c r="FM258" s="5"/>
      <c r="FN258" s="5"/>
      <c r="FO258" s="5"/>
      <c r="FP258" s="5"/>
      <c r="FQ258" s="5"/>
      <c r="FR258" s="5"/>
      <c r="FS258" s="5"/>
      <c r="FT258" s="5"/>
      <c r="FU258" s="5"/>
      <c r="FV258" s="5"/>
      <c r="FW258" s="5"/>
      <c r="FX258" s="5"/>
      <c r="FY258" s="5"/>
      <c r="FZ258" s="5"/>
      <c r="GA258" s="5"/>
      <c r="GB258" s="5"/>
      <c r="GC258" s="5"/>
      <c r="GD258" s="5"/>
      <c r="GE258" s="5"/>
      <c r="GF258" s="5"/>
      <c r="GG258" s="5"/>
      <c r="GH258" s="5"/>
      <c r="GI258" s="5"/>
      <c r="GJ258" s="5"/>
      <c r="GK258" s="5"/>
      <c r="GL258" s="5"/>
      <c r="GM258" s="5"/>
      <c r="GN258" s="5"/>
      <c r="GO258" s="5"/>
      <c r="GP258" s="5"/>
      <c r="GQ258" s="5"/>
      <c r="GR258" s="5"/>
      <c r="GS258" s="5"/>
      <c r="GT258" s="5"/>
      <c r="GU258" s="5"/>
      <c r="GV258" s="5"/>
      <c r="GW258" s="5"/>
      <c r="GX258" s="5"/>
      <c r="GY258" s="5"/>
      <c r="GZ258" s="5"/>
      <c r="HA258" s="5"/>
      <c r="HB258" s="5"/>
      <c r="HC258" s="5"/>
      <c r="HD258" s="5"/>
      <c r="HE258" s="5"/>
      <c r="HF258" s="5"/>
      <c r="HG258" s="5"/>
      <c r="HH258" s="5"/>
      <c r="HI258" s="5"/>
      <c r="HJ258" s="5"/>
      <c r="HK258" s="5"/>
      <c r="HL258" s="5"/>
      <c r="HM258" s="5"/>
      <c r="HN258" s="5"/>
      <c r="HO258" s="5"/>
      <c r="HP258" s="5"/>
      <c r="HQ258" s="5"/>
      <c r="HR258" s="5"/>
      <c r="HS258" s="5"/>
      <c r="HT258" s="5"/>
      <c r="HU258" s="5"/>
      <c r="HV258" s="5"/>
      <c r="HW258" s="5"/>
      <c r="HX258" s="5"/>
      <c r="HY258" s="5"/>
      <c r="HZ258" s="5"/>
      <c r="IA258" s="5"/>
      <c r="IB258" s="5"/>
      <c r="IC258" s="5"/>
      <c r="ID258" s="5"/>
      <c r="IE258" s="5"/>
      <c r="IF258" s="5"/>
      <c r="IG258" s="5"/>
      <c r="IH258" s="5"/>
      <c r="II258" s="5"/>
      <c r="IJ258" s="5"/>
    </row>
    <row r="259" s="3" customFormat="1" ht="22" customHeight="1" spans="1:244">
      <c r="A259" s="36" t="s">
        <v>207</v>
      </c>
      <c r="B259" s="36"/>
      <c r="C259" s="36"/>
      <c r="D259" s="37"/>
      <c r="E259" s="36"/>
      <c r="F259" s="36"/>
      <c r="G259" s="36"/>
      <c r="H259" s="36"/>
      <c r="I259" s="38"/>
      <c r="J259" s="39"/>
      <c r="K259" s="39"/>
      <c r="L259" s="40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/>
      <c r="GD259"/>
      <c r="GE259"/>
      <c r="GF259"/>
      <c r="GG259"/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/>
      <c r="HJ259"/>
      <c r="HK259"/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</row>
  </sheetData>
  <autoFilter xmlns:etc="http://www.wps.cn/officeDocument/2017/etCustomData" ref="A4:IJ259" etc:filterBottomFollowUsedRange="0">
    <extLst/>
  </autoFilter>
  <mergeCells count="62">
    <mergeCell ref="A1:I1"/>
    <mergeCell ref="A2:I2"/>
    <mergeCell ref="A259:I259"/>
    <mergeCell ref="A3:A4"/>
    <mergeCell ref="B3:B4"/>
    <mergeCell ref="C3:C4"/>
    <mergeCell ref="D3:D4"/>
    <mergeCell ref="F3:F4"/>
    <mergeCell ref="H3:H4"/>
    <mergeCell ref="I3:I4"/>
    <mergeCell ref="I5:I12"/>
    <mergeCell ref="I14:I15"/>
    <mergeCell ref="I17:I20"/>
    <mergeCell ref="I24:I25"/>
    <mergeCell ref="I26:I27"/>
    <mergeCell ref="I29:I30"/>
    <mergeCell ref="I32:I36"/>
    <mergeCell ref="I37:I38"/>
    <mergeCell ref="I42:I43"/>
    <mergeCell ref="I45:I47"/>
    <mergeCell ref="I49:I51"/>
    <mergeCell ref="I53:I54"/>
    <mergeCell ref="I55:I59"/>
    <mergeCell ref="I61:I68"/>
    <mergeCell ref="I71:I75"/>
    <mergeCell ref="I77:I80"/>
    <mergeCell ref="I81:I85"/>
    <mergeCell ref="I86:I89"/>
    <mergeCell ref="I91:I96"/>
    <mergeCell ref="I98:I102"/>
    <mergeCell ref="I103:I106"/>
    <mergeCell ref="I107:I111"/>
    <mergeCell ref="I113:I115"/>
    <mergeCell ref="I116:I118"/>
    <mergeCell ref="I119:I124"/>
    <mergeCell ref="I126:I129"/>
    <mergeCell ref="I130:I134"/>
    <mergeCell ref="I135:I136"/>
    <mergeCell ref="I138:I142"/>
    <mergeCell ref="I145:I148"/>
    <mergeCell ref="I150:I152"/>
    <mergeCell ref="I153:I155"/>
    <mergeCell ref="I156:I159"/>
    <mergeCell ref="I161:I164"/>
    <mergeCell ref="I165:I168"/>
    <mergeCell ref="I169:I174"/>
    <mergeCell ref="I175:I177"/>
    <mergeCell ref="I178:I182"/>
    <mergeCell ref="I183:I190"/>
    <mergeCell ref="I192:I194"/>
    <mergeCell ref="I196:I198"/>
    <mergeCell ref="I199:I201"/>
    <mergeCell ref="I202:I208"/>
    <mergeCell ref="I209:I215"/>
    <mergeCell ref="I216:I219"/>
    <mergeCell ref="I221:I225"/>
    <mergeCell ref="I226:I230"/>
    <mergeCell ref="I231:I235"/>
    <mergeCell ref="I236:I238"/>
    <mergeCell ref="I240:I244"/>
    <mergeCell ref="I245:I248"/>
    <mergeCell ref="I249:I252"/>
  </mergeCells>
  <conditionalFormatting sqref="I91">
    <cfRule type="cellIs" dxfId="0" priority="29" stopIfTrue="1" operator="equal">
      <formula>"Q235B"</formula>
    </cfRule>
  </conditionalFormatting>
  <conditionalFormatting sqref="I116">
    <cfRule type="cellIs" dxfId="0" priority="28" stopIfTrue="1" operator="equal">
      <formula>"Q235B"</formula>
    </cfRule>
  </conditionalFormatting>
  <conditionalFormatting sqref="K143">
    <cfRule type="cellIs" dxfId="0" priority="27" stopIfTrue="1" operator="equal">
      <formula>"Q235B"</formula>
    </cfRule>
  </conditionalFormatting>
  <conditionalFormatting sqref="J150">
    <cfRule type="cellIs" dxfId="0" priority="24" stopIfTrue="1" operator="equal">
      <formula>"Q235B"</formula>
    </cfRule>
  </conditionalFormatting>
  <conditionalFormatting sqref="J158">
    <cfRule type="cellIs" dxfId="0" priority="26" stopIfTrue="1" operator="equal">
      <formula>"Q235B"</formula>
    </cfRule>
  </conditionalFormatting>
  <conditionalFormatting sqref="J171">
    <cfRule type="cellIs" dxfId="0" priority="23" stopIfTrue="1" operator="equal">
      <formula>"Q235B"</formula>
    </cfRule>
  </conditionalFormatting>
  <conditionalFormatting sqref="J176">
    <cfRule type="cellIs" dxfId="0" priority="22" stopIfTrue="1" operator="equal">
      <formula>"Q235B"</formula>
    </cfRule>
  </conditionalFormatting>
  <conditionalFormatting sqref="J193">
    <cfRule type="cellIs" dxfId="0" priority="21" stopIfTrue="1" operator="equal">
      <formula>"Q235B"</formula>
    </cfRule>
  </conditionalFormatting>
  <conditionalFormatting sqref="J202">
    <cfRule type="cellIs" dxfId="0" priority="19" stopIfTrue="1" operator="equal">
      <formula>"Q235B"</formula>
    </cfRule>
  </conditionalFormatting>
  <conditionalFormatting sqref="J209">
    <cfRule type="cellIs" dxfId="0" priority="17" stopIfTrue="1" operator="equal">
      <formula>"Q235B"</formula>
    </cfRule>
  </conditionalFormatting>
  <conditionalFormatting sqref="J210">
    <cfRule type="cellIs" dxfId="0" priority="18" stopIfTrue="1" operator="equal">
      <formula>"Q235B"</formula>
    </cfRule>
  </conditionalFormatting>
  <conditionalFormatting sqref="J216">
    <cfRule type="cellIs" dxfId="0" priority="15" stopIfTrue="1" operator="equal">
      <formula>"Q235B"</formula>
    </cfRule>
  </conditionalFormatting>
  <conditionalFormatting sqref="J217">
    <cfRule type="cellIs" dxfId="0" priority="14" stopIfTrue="1" operator="equal">
      <formula>"Q235B"</formula>
    </cfRule>
  </conditionalFormatting>
  <conditionalFormatting sqref="I231">
    <cfRule type="cellIs" dxfId="0" priority="13" stopIfTrue="1" operator="equal">
      <formula>"Q235B"</formula>
    </cfRule>
  </conditionalFormatting>
  <conditionalFormatting sqref="K239">
    <cfRule type="cellIs" dxfId="0" priority="11" stopIfTrue="1" operator="equal">
      <formula>"Q235B"</formula>
    </cfRule>
  </conditionalFormatting>
  <conditionalFormatting sqref="L239">
    <cfRule type="cellIs" dxfId="0" priority="10" stopIfTrue="1" operator="equal">
      <formula>"Q235B"</formula>
    </cfRule>
  </conditionalFormatting>
  <conditionalFormatting sqref="J241">
    <cfRule type="cellIs" dxfId="0" priority="9" stopIfTrue="1" operator="equal">
      <formula>"Q235B"</formula>
    </cfRule>
  </conditionalFormatting>
  <conditionalFormatting sqref="J251">
    <cfRule type="cellIs" dxfId="0" priority="7" stopIfTrue="1" operator="equal">
      <formula>"Q235B"</formula>
    </cfRule>
  </conditionalFormatting>
  <conditionalFormatting sqref="J252">
    <cfRule type="cellIs" dxfId="0" priority="6" stopIfTrue="1" operator="equal">
      <formula>"Q235B"</formula>
    </cfRule>
  </conditionalFormatting>
  <conditionalFormatting sqref="K252">
    <cfRule type="cellIs" dxfId="0" priority="5" stopIfTrue="1" operator="equal">
      <formula>"Q235B"</formula>
    </cfRule>
  </conditionalFormatting>
  <conditionalFormatting sqref="L252">
    <cfRule type="cellIs" dxfId="0" priority="4" stopIfTrue="1" operator="equal">
      <formula>"Q235B"</formula>
    </cfRule>
  </conditionalFormatting>
  <conditionalFormatting sqref="M252">
    <cfRule type="cellIs" dxfId="0" priority="3" stopIfTrue="1" operator="equal">
      <formula>"Q235B"</formula>
    </cfRule>
  </conditionalFormatting>
  <conditionalFormatting sqref="N252">
    <cfRule type="cellIs" dxfId="0" priority="2" stopIfTrue="1" operator="equal">
      <formula>"Q235B"</formula>
    </cfRule>
  </conditionalFormatting>
  <conditionalFormatting sqref="O252">
    <cfRule type="cellIs" dxfId="0" priority="1" stopIfTrue="1" operator="equal">
      <formula>"Q235B"</formula>
    </cfRule>
  </conditionalFormatting>
  <conditionalFormatting sqref="A254:G254">
    <cfRule type="cellIs" dxfId="0" priority="37" stopIfTrue="1" operator="equal">
      <formula>"Q235B"</formula>
    </cfRule>
  </conditionalFormatting>
  <conditionalFormatting sqref="H254">
    <cfRule type="cellIs" dxfId="0" priority="36" stopIfTrue="1" operator="equal">
      <formula>"Q235B"</formula>
    </cfRule>
  </conditionalFormatting>
  <conditionalFormatting sqref="I254">
    <cfRule type="cellIs" dxfId="0" priority="31" stopIfTrue="1" operator="equal">
      <formula>"Q235B"</formula>
    </cfRule>
  </conditionalFormatting>
  <conditionalFormatting sqref="A257:G257">
    <cfRule type="cellIs" dxfId="0" priority="33" stopIfTrue="1" operator="equal">
      <formula>"Q235B"</formula>
    </cfRule>
  </conditionalFormatting>
  <conditionalFormatting sqref="H257">
    <cfRule type="cellIs" dxfId="0" priority="34" stopIfTrue="1" operator="equal">
      <formula>"Q235B"</formula>
    </cfRule>
  </conditionalFormatting>
  <conditionalFormatting sqref="I257">
    <cfRule type="cellIs" dxfId="0" priority="30" stopIfTrue="1" operator="equal">
      <formula>"Q235B"</formula>
    </cfRule>
  </conditionalFormatting>
  <conditionalFormatting sqref="A258:G258">
    <cfRule type="cellIs" dxfId="0" priority="38" stopIfTrue="1" operator="equal">
      <formula>"Q235B"</formula>
    </cfRule>
  </conditionalFormatting>
  <conditionalFormatting sqref="H258">
    <cfRule type="cellIs" dxfId="0" priority="41" stopIfTrue="1" operator="equal">
      <formula>"Q235B"</formula>
    </cfRule>
  </conditionalFormatting>
  <conditionalFormatting sqref="A259">
    <cfRule type="cellIs" dxfId="1" priority="35" stopIfTrue="1" operator="equal">
      <formula>235</formula>
    </cfRule>
  </conditionalFormatting>
  <conditionalFormatting sqref="J259:IV259">
    <cfRule type="cellIs" dxfId="0" priority="42" stopIfTrue="1" operator="equal">
      <formula>235</formula>
    </cfRule>
  </conditionalFormatting>
  <conditionalFormatting sqref="H255:H256">
    <cfRule type="cellIs" dxfId="0" priority="39" stopIfTrue="1" operator="equal">
      <formula>"Q235B"</formula>
    </cfRule>
  </conditionalFormatting>
  <conditionalFormatting sqref="J154:J155">
    <cfRule type="cellIs" dxfId="0" priority="25" stopIfTrue="1" operator="equal">
      <formula>"Q235B"</formula>
    </cfRule>
  </conditionalFormatting>
  <conditionalFormatting sqref="J196:J197">
    <cfRule type="cellIs" dxfId="0" priority="20" stopIfTrue="1" operator="equal">
      <formula>"Q235B"</formula>
    </cfRule>
  </conditionalFormatting>
  <conditionalFormatting sqref="J243:J244">
    <cfRule type="cellIs" dxfId="0" priority="8" stopIfTrue="1" operator="equal">
      <formula>"Q235B"</formula>
    </cfRule>
  </conditionalFormatting>
  <conditionalFormatting sqref="H3:IV3 J4:IV4 G3:G4 J1:IV2 E4 A3:F3">
    <cfRule type="cellIs" dxfId="0" priority="45" stopIfTrue="1" operator="equal">
      <formula>"Q235B"</formula>
    </cfRule>
  </conditionalFormatting>
  <conditionalFormatting sqref="A1:I2">
    <cfRule type="cellIs" dxfId="1" priority="43" stopIfTrue="1" operator="equal">
      <formula>"Q235B"</formula>
    </cfRule>
  </conditionalFormatting>
  <conditionalFormatting sqref="A5:H85 I52:I53 I16:I17 I48:I49 A86:I86 A87:H89 I39:I42 A90:I90 A91:H96 A97:I98 A99:H102 A103:I103 A104:H106 A107:I107 A108:H111 A112:I113 A114:H118 A119:I119 A120:H124 A125:I126 A127:H129 I21:I24 A130:I130 A131:H134 I31:I32 A135:I135 A136:H136 A137:I138 A139:H142 A143:I145 A146:H148 A149:I150 I26 I13:I14 I60:I61 I81 I5 I55 A157:H159 A160:I161 A162:H164 A165:I165 A166:H168 A169:I169 A170:H174 A175:I175 A176:H177 A178:I178 A179:H182 A183:I183 A184:H190 A191:I192 A193:H194 A195:I196 A197:H198 A199:I199 A200:H201 A151:H152 A202:I202 A203:H208 A154:H155 I76:I77 I69:I71 A209:I209 A210:H215 I44:I45 A216:I216 A217:H219 A220:I221 I37 A253:I253 A250:H252 A249:I249 A153:I153 I28:I29 A156:I156 A245:I245 A237:H238 A236:I236 A246:H248 A222:H225 A226:I226 A241:H244 A239:I240 A227:H235">
    <cfRule type="cellIs" dxfId="0" priority="44" stopIfTrue="1" operator="equal">
      <formula>"Q235B"</formula>
    </cfRule>
  </conditionalFormatting>
  <conditionalFormatting sqref="J219 J211">
    <cfRule type="cellIs" dxfId="0" priority="16" stopIfTrue="1" operator="equal">
      <formula>"Q235B"</formula>
    </cfRule>
  </conditionalFormatting>
  <conditionalFormatting sqref="J236:J237 J239">
    <cfRule type="cellIs" dxfId="0" priority="12" stopIfTrue="1" operator="equal">
      <formula>"Q235B"</formula>
    </cfRule>
  </conditionalFormatting>
  <conditionalFormatting sqref="A255:G256">
    <cfRule type="cellIs" dxfId="0" priority="40" stopIfTrue="1" operator="equal">
      <formula>"Q235B"</formula>
    </cfRule>
  </conditionalFormatting>
  <conditionalFormatting sqref="I258 I255:I256">
    <cfRule type="cellIs" dxfId="0" priority="32" stopIfTrue="1" operator="equal">
      <formula>"Q235B"</formula>
    </cfRule>
  </conditionalFormatting>
  <pageMargins left="0.314583333333333" right="0" top="0.511805555555556" bottom="0.511805555555556" header="0.511805555555556" footer="0.511805555555556"/>
  <pageSetup paperSize="9" orientation="portrait" horizontalDpi="600"/>
  <headerFooter>
    <oddFooter>&amp;C第 &amp;P 页，共 &amp;N 页</oddFooter>
  </headerFooter>
  <rowBreaks count="5" manualBreakCount="5">
    <brk id="16" max="8" man="1"/>
    <brk id="47" max="8" man="1"/>
    <brk id="76" max="8" man="1"/>
    <brk id="164" max="8" man="1"/>
    <brk id="253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配料表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陈保传</cp:lastModifiedBy>
  <dcterms:created xsi:type="dcterms:W3CDTF">2026-04-14T08:00:54Z</dcterms:created>
  <dcterms:modified xsi:type="dcterms:W3CDTF">2026-04-14T08:01:04Z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14D3D33456164C89BDBF2B74095C408C_11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